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ansaction" sheetId="1" state="visible" r:id="rId3"/>
    <sheet name="Operating Model" sheetId="2" state="visible" r:id="rId4"/>
    <sheet name="Debt Schedule" sheetId="3" state="visible" r:id="rId5"/>
    <sheet name="Return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<sst xmlns="http://schemas.openxmlformats.org/spreadsheetml/2006/main" count="96" uniqueCount="89">
  <si>
    <t xml:space="preserve">LBO MODEL — TRANSACTION ASSUMPTIONS</t>
  </si>
  <si>
    <t xml:space="preserve">PURCHASE PRICE</t>
  </si>
  <si>
    <t xml:space="preserve">LTM EBITDA ($mm)</t>
  </si>
  <si>
    <t xml:space="preserve">Entry Multiple (EV/EBITDA)</t>
  </si>
  <si>
    <t xml:space="preserve">Enterprise Value ($mm)</t>
  </si>
  <si>
    <t xml:space="preserve">(-) Existing Debt ($mm)</t>
  </si>
  <si>
    <t xml:space="preserve">(+) Existing Cash ($mm)</t>
  </si>
  <si>
    <t xml:space="preserve">Equity Purchase Price ($mm)</t>
  </si>
  <si>
    <t xml:space="preserve">Transaction Fees ($mm)</t>
  </si>
  <si>
    <t xml:space="preserve">Total Uses ($mm)</t>
  </si>
  <si>
    <t xml:space="preserve">SOURCES &amp; USES</t>
  </si>
  <si>
    <t xml:space="preserve">SOURCES</t>
  </si>
  <si>
    <t xml:space="preserve">Amount ($mm)</t>
  </si>
  <si>
    <t xml:space="preserve">% of Total</t>
  </si>
  <si>
    <t xml:space="preserve">Senior Debt / EBITDA Multiple</t>
  </si>
  <si>
    <t xml:space="preserve">Senior Debt / Total Capital</t>
  </si>
  <si>
    <t xml:space="preserve">Sub Debt / Total Capital</t>
  </si>
  <si>
    <t xml:space="preserve">Sponsor Equity / Total Capital</t>
  </si>
  <si>
    <t xml:space="preserve">SOURCES OF FUNDS</t>
  </si>
  <si>
    <t xml:space="preserve">Source</t>
  </si>
  <si>
    <t xml:space="preserve">Senior Secured Debt</t>
  </si>
  <si>
    <t xml:space="preserve">Subordinated Debt</t>
  </si>
  <si>
    <t xml:space="preserve">Sponsor Equity</t>
  </si>
  <si>
    <t xml:space="preserve">Total Sources</t>
  </si>
  <si>
    <t xml:space="preserve">DEBT TERMS</t>
  </si>
  <si>
    <t xml:space="preserve">Senior Debt Interest Rate</t>
  </si>
  <si>
    <t xml:space="preserve">Sub Debt Interest Rate</t>
  </si>
  <si>
    <t xml:space="preserve">Mandatory Amortization (% of Senior)</t>
  </si>
  <si>
    <t xml:space="preserve">Cash Sweep (% of Excess CF)</t>
  </si>
  <si>
    <t xml:space="preserve">OPERATING ASSUMPTIONS</t>
  </si>
  <si>
    <t xml:space="preserve">Revenue Year 0 ($mm)</t>
  </si>
  <si>
    <t xml:space="preserve">Revenue Growth Rate</t>
  </si>
  <si>
    <t xml:space="preserve">EBITDA Margin</t>
  </si>
  <si>
    <t xml:space="preserve">D&amp;A (% of Revenue)</t>
  </si>
  <si>
    <t xml:space="preserve">CapEx (% of Revenue)</t>
  </si>
  <si>
    <t xml:space="preserve">Change in NWC (% of Rev Change)</t>
  </si>
  <si>
    <t xml:space="preserve">Tax Rate</t>
  </si>
  <si>
    <t xml:space="preserve">EXIT ASSUMPTIONS</t>
  </si>
  <si>
    <t xml:space="preserve">Holding Period (Years)</t>
  </si>
  <si>
    <t xml:space="preserve">Exit Multiple (EV/EBITDA)</t>
  </si>
  <si>
    <t xml:space="preserve">LBO OPERATING MODEL</t>
  </si>
  <si>
    <t xml:space="preserve">Entry</t>
  </si>
  <si>
    <t xml:space="preserve">Exit</t>
  </si>
  <si>
    <t xml:space="preserve">Year</t>
  </si>
  <si>
    <t xml:space="preserve">INCOME STATEMENT</t>
  </si>
  <si>
    <t xml:space="preserve">Revenue</t>
  </si>
  <si>
    <t xml:space="preserve">EBITDA</t>
  </si>
  <si>
    <t xml:space="preserve">(-) D&amp;A</t>
  </si>
  <si>
    <t xml:space="preserve">EBIT</t>
  </si>
  <si>
    <t xml:space="preserve">(-) Senior Debt Interest</t>
  </si>
  <si>
    <t xml:space="preserve">(-) Sub Debt Interest</t>
  </si>
  <si>
    <t xml:space="preserve">EBT</t>
  </si>
  <si>
    <t xml:space="preserve">(-) Taxes</t>
  </si>
  <si>
    <t xml:space="preserve">Net Income</t>
  </si>
  <si>
    <t xml:space="preserve">FREE CASH FLOW</t>
  </si>
  <si>
    <t xml:space="preserve">(+) D&amp;A</t>
  </si>
  <si>
    <t xml:space="preserve">(-) CapEx</t>
  </si>
  <si>
    <t xml:space="preserve">(-) Change in NWC</t>
  </si>
  <si>
    <t xml:space="preserve">Levered Free Cash Flow</t>
  </si>
  <si>
    <t xml:space="preserve">DEBT SCHEDULE</t>
  </si>
  <si>
    <t xml:space="preserve">SENIOR SECURED DEBT</t>
  </si>
  <si>
    <t xml:space="preserve">Beginning Balance</t>
  </si>
  <si>
    <t xml:space="preserve">(-) Mandatory Amortization</t>
  </si>
  <si>
    <t xml:space="preserve">(-) Optional Prepayment (Cash Sweep)</t>
  </si>
  <si>
    <t xml:space="preserve">Ending Balance</t>
  </si>
  <si>
    <t xml:space="preserve">SUBORDINATED DEBT</t>
  </si>
  <si>
    <t xml:space="preserve">Ending Balance (No Amortization)</t>
  </si>
  <si>
    <t xml:space="preserve">Total Debt</t>
  </si>
  <si>
    <t xml:space="preserve">CREDIT METRICS</t>
  </si>
  <si>
    <t xml:space="preserve">Total Debt / EBITDA</t>
  </si>
  <si>
    <t xml:space="preserve">Interest Coverage (EBITDA / Interest)</t>
  </si>
  <si>
    <t xml:space="preserve">LBO RETURNS ANALYSIS</t>
  </si>
  <si>
    <t xml:space="preserve">EXIT VALUATION</t>
  </si>
  <si>
    <t xml:space="preserve">Exit Year EBITDA ($mm)</t>
  </si>
  <si>
    <t xml:space="preserve">Exit Enterprise Value ($mm)</t>
  </si>
  <si>
    <t xml:space="preserve">(-) Net Debt at Exit ($mm)</t>
  </si>
  <si>
    <t xml:space="preserve">Exit Equity Value ($mm)</t>
  </si>
  <si>
    <t xml:space="preserve">SPONSOR RETURNS</t>
  </si>
  <si>
    <t xml:space="preserve">Initial Sponsor Equity ($mm)</t>
  </si>
  <si>
    <t xml:space="preserve">MOIC (Multiple of Invested Capital)</t>
  </si>
  <si>
    <t xml:space="preserve">IRR</t>
  </si>
  <si>
    <t xml:space="preserve">VALUE CREATION BRIDGE</t>
  </si>
  <si>
    <t xml:space="preserve">Entry Equity</t>
  </si>
  <si>
    <t xml:space="preserve">(+) EBITDA Growth Effect</t>
  </si>
  <si>
    <t xml:space="preserve">(+) Multiple Expansion Effect</t>
  </si>
  <si>
    <t xml:space="preserve">(+) Debt Paydown Effect</t>
  </si>
  <si>
    <t xml:space="preserve">Exit Equity (Check)</t>
  </si>
  <si>
    <t xml:space="preserve">SENSITIVITY — IRR BY EXIT MULTIPLE &amp; EBITDA GROWTH</t>
  </si>
  <si>
    <t xml:space="preserve">Exit Mult ↓ / Growth →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</si>
</sst>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.0\x"/>
    <numFmt numFmtId="167" formatCode="0.0%"/>
    <numFmt numFmtId="168" formatCode="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8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  <fill>
      <patternFill patternType="solid">
        <fgColor rgb="FFD6E4F0"/>
        <bgColor rgb="FFE2EFDA"/>
      </patternFill>
    </fill>
    <fill>
      <patternFill patternType="solid">
        <fgColor rgb="FFFFFF00"/>
        <bgColor rgb="FFFFFF00"/>
      </patternFill>
    </fill>
    <fill>
      <patternFill patternType="solid">
        <fgColor rgb="FFE2EFDA"/>
        <bgColor rgb="FFF2F2F2"/>
      </patternFill>
    </fill>
    <fill>
      <patternFill patternType="solid">
        <fgColor rgb="FFF2F2F2"/>
        <bgColor rgb="FFE2EFDA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4B4B4"/>
      </bottom>
      <diagonal/>
    </border>
    <border diagonalUp="false" diagonalDown="false">
      <left/>
      <right/>
      <top/>
      <bottom style="double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4B4B4"/>
      <rgbColor rgb="FF808080"/>
      <rgbColor rgb="FF9999FF"/>
      <rgbColor rgb="FF7030A0"/>
      <rgbColor rgb="FFF2F2F2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496"/>
    <pageSetUpPr fitToPage="false"/>
  </sheetPr>
  <dimension ref="B1:D4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8"/>
    <col collapsed="false" customWidth="true" hidden="false" outlineLevel="0" max="4" min="3" style="0" width="18"/>
    <col collapsed="false" customWidth="true" hidden="false" outlineLevel="0" max="11" min="5" style="0" width="16"/>
  </cols>
  <sheetData>
    <row r="1" customFormat="false" ht="31.5" hidden="false" customHeight="true" outlineLevel="0" collapsed="false">
      <c r="B1" s="1" t="s">
        <v>0</v>
      </c>
      <c r="C1" s="1"/>
      <c r="D1" s="1"/>
    </row>
    <row r="3" customFormat="false" ht="15" hidden="false" customHeight="false" outlineLevel="0" collapsed="false">
      <c r="B3" s="2" t="s">
        <v>1</v>
      </c>
      <c r="C3" s="2"/>
      <c r="D3" s="2"/>
    </row>
    <row r="4" customFormat="false" ht="15" hidden="false" customHeight="false" outlineLevel="0" collapsed="false">
      <c r="B4" s="3" t="s">
        <v>2</v>
      </c>
      <c r="C4" s="4" t="n">
        <v>100</v>
      </c>
    </row>
    <row r="5" customFormat="false" ht="15" hidden="false" customHeight="false" outlineLevel="0" collapsed="false">
      <c r="B5" s="3" t="s">
        <v>3</v>
      </c>
      <c r="C5" s="5" t="n">
        <v>10</v>
      </c>
    </row>
    <row r="6" customFormat="false" ht="15" hidden="false" customHeight="false" outlineLevel="0" collapsed="false">
      <c r="B6" s="3" t="s">
        <v>4</v>
      </c>
      <c r="C6" s="6" t="n">
        <f aca="false">C4*C5</f>
        <v>1000</v>
      </c>
    </row>
    <row r="7" customFormat="false" ht="15" hidden="false" customHeight="false" outlineLevel="0" collapsed="false">
      <c r="B7" s="3" t="s">
        <v>5</v>
      </c>
      <c r="C7" s="4" t="n">
        <v>50</v>
      </c>
    </row>
    <row r="8" customFormat="false" ht="15" hidden="false" customHeight="false" outlineLevel="0" collapsed="false">
      <c r="B8" s="3" t="s">
        <v>6</v>
      </c>
      <c r="C8" s="4" t="n">
        <v>20</v>
      </c>
    </row>
    <row r="9" customFormat="false" ht="15" hidden="false" customHeight="false" outlineLevel="0" collapsed="false">
      <c r="B9" s="3" t="s">
        <v>7</v>
      </c>
      <c r="C9" s="7" t="n">
        <f aca="false">C6-C7+C8</f>
        <v>970</v>
      </c>
    </row>
    <row r="10" customFormat="false" ht="15" hidden="false" customHeight="false" outlineLevel="0" collapsed="false">
      <c r="B10" s="3" t="s">
        <v>8</v>
      </c>
      <c r="C10" s="4" t="n">
        <v>15</v>
      </c>
    </row>
    <row r="11" customFormat="false" ht="15" hidden="false" customHeight="false" outlineLevel="0" collapsed="false">
      <c r="B11" s="3" t="s">
        <v>9</v>
      </c>
      <c r="C11" s="8" t="n">
        <f aca="false">C9+C10</f>
        <v>985</v>
      </c>
    </row>
    <row r="13" customFormat="false" ht="15" hidden="false" customHeight="false" outlineLevel="0" collapsed="false">
      <c r="B13" s="2" t="s">
        <v>10</v>
      </c>
      <c r="C13" s="2"/>
      <c r="D13" s="2"/>
    </row>
    <row r="14" customFormat="false" ht="15" hidden="false" customHeight="false" outlineLevel="0" collapsed="false">
      <c r="B14" s="3" t="s">
        <v>11</v>
      </c>
      <c r="C14" s="3" t="s">
        <v>12</v>
      </c>
      <c r="D14" s="3" t="s">
        <v>13</v>
      </c>
    </row>
    <row r="16" customFormat="false" ht="15" hidden="false" customHeight="false" outlineLevel="0" collapsed="false">
      <c r="B16" s="3" t="s">
        <v>14</v>
      </c>
      <c r="C16" s="5" t="n">
        <v>4</v>
      </c>
    </row>
    <row r="18" customFormat="false" ht="15" hidden="false" customHeight="false" outlineLevel="0" collapsed="false">
      <c r="B18" s="3" t="s">
        <v>15</v>
      </c>
      <c r="C18" s="9" t="n">
        <v>0.5</v>
      </c>
    </row>
    <row r="19" customFormat="false" ht="15" hidden="false" customHeight="false" outlineLevel="0" collapsed="false">
      <c r="B19" s="3" t="s">
        <v>16</v>
      </c>
      <c r="C19" s="9" t="n">
        <v>0.2</v>
      </c>
    </row>
    <row r="20" customFormat="false" ht="15" hidden="false" customHeight="false" outlineLevel="0" collapsed="false">
      <c r="B20" s="3" t="s">
        <v>17</v>
      </c>
      <c r="C20" s="10" t="n">
        <f aca="false">1-C18-C19</f>
        <v>0.3</v>
      </c>
    </row>
    <row r="22" customFormat="false" ht="15" hidden="false" customHeight="false" outlineLevel="0" collapsed="false">
      <c r="B22" s="11" t="s">
        <v>18</v>
      </c>
      <c r="C22" s="11"/>
      <c r="D22" s="11"/>
    </row>
    <row r="23" customFormat="false" ht="15" hidden="false" customHeight="false" outlineLevel="0" collapsed="false">
      <c r="B23" s="3" t="s">
        <v>19</v>
      </c>
      <c r="C23" s="3" t="s">
        <v>12</v>
      </c>
      <c r="D23" s="3" t="s">
        <v>13</v>
      </c>
    </row>
    <row r="24" customFormat="false" ht="15" hidden="false" customHeight="false" outlineLevel="0" collapsed="false">
      <c r="B24" s="0" t="s">
        <v>20</v>
      </c>
      <c r="C24" s="6" t="n">
        <f aca="false">C11*C18</f>
        <v>492.5</v>
      </c>
      <c r="D24" s="10" t="n">
        <f aca="false">IF(C27=0,0,C24/C27)</f>
        <v>0.5</v>
      </c>
    </row>
    <row r="25" customFormat="false" ht="15" hidden="false" customHeight="false" outlineLevel="0" collapsed="false">
      <c r="B25" s="0" t="s">
        <v>21</v>
      </c>
      <c r="C25" s="6" t="n">
        <f aca="false">C11*C19</f>
        <v>197</v>
      </c>
      <c r="D25" s="10" t="n">
        <f aca="false">IF(C27=0,0,C25/C27)</f>
        <v>0.2</v>
      </c>
    </row>
    <row r="26" customFormat="false" ht="15" hidden="false" customHeight="false" outlineLevel="0" collapsed="false">
      <c r="B26" s="0" t="s">
        <v>22</v>
      </c>
      <c r="C26" s="6" t="n">
        <f aca="false">C11-C24-C25</f>
        <v>295.5</v>
      </c>
      <c r="D26" s="10" t="n">
        <f aca="false">IF(C27=0,0,C26/C27)</f>
        <v>0.3</v>
      </c>
    </row>
    <row r="27" customFormat="false" ht="15" hidden="false" customHeight="false" outlineLevel="0" collapsed="false">
      <c r="B27" s="3" t="s">
        <v>23</v>
      </c>
      <c r="C27" s="8" t="n">
        <f aca="false">SUM(C24:C26)</f>
        <v>985</v>
      </c>
      <c r="D27" s="12" t="n">
        <f aca="false">SUM(D24:D26)</f>
        <v>1</v>
      </c>
    </row>
    <row r="29" customFormat="false" ht="15" hidden="false" customHeight="false" outlineLevel="0" collapsed="false">
      <c r="B29" s="2" t="s">
        <v>24</v>
      </c>
      <c r="C29" s="2"/>
      <c r="D29" s="2"/>
    </row>
    <row r="30" customFormat="false" ht="15" hidden="false" customHeight="false" outlineLevel="0" collapsed="false">
      <c r="B30" s="3" t="s">
        <v>25</v>
      </c>
      <c r="C30" s="9" t="n">
        <v>0.06</v>
      </c>
    </row>
    <row r="31" customFormat="false" ht="15" hidden="false" customHeight="false" outlineLevel="0" collapsed="false">
      <c r="B31" s="3" t="s">
        <v>26</v>
      </c>
      <c r="C31" s="9" t="n">
        <v>0.1</v>
      </c>
    </row>
    <row r="32" customFormat="false" ht="15" hidden="false" customHeight="false" outlineLevel="0" collapsed="false">
      <c r="B32" s="3" t="s">
        <v>27</v>
      </c>
      <c r="C32" s="9" t="n">
        <v>0.05</v>
      </c>
    </row>
    <row r="33" customFormat="false" ht="15" hidden="false" customHeight="false" outlineLevel="0" collapsed="false">
      <c r="B33" s="3" t="s">
        <v>28</v>
      </c>
      <c r="C33" s="9" t="n">
        <v>0.5</v>
      </c>
    </row>
    <row r="35" customFormat="false" ht="15" hidden="false" customHeight="false" outlineLevel="0" collapsed="false">
      <c r="B35" s="2" t="s">
        <v>29</v>
      </c>
      <c r="C35" s="2"/>
      <c r="D35" s="2"/>
    </row>
    <row r="36" customFormat="false" ht="15" hidden="false" customHeight="false" outlineLevel="0" collapsed="false">
      <c r="B36" s="3" t="s">
        <v>30</v>
      </c>
      <c r="C36" s="4" t="n">
        <v>500</v>
      </c>
    </row>
    <row r="37" customFormat="false" ht="15" hidden="false" customHeight="false" outlineLevel="0" collapsed="false">
      <c r="B37" s="3" t="s">
        <v>31</v>
      </c>
      <c r="C37" s="9" t="n">
        <v>0.08</v>
      </c>
    </row>
    <row r="38" customFormat="false" ht="15" hidden="false" customHeight="false" outlineLevel="0" collapsed="false">
      <c r="B38" s="3" t="s">
        <v>32</v>
      </c>
      <c r="C38" s="9" t="n">
        <v>0.2</v>
      </c>
    </row>
    <row r="39" customFormat="false" ht="15" hidden="false" customHeight="false" outlineLevel="0" collapsed="false">
      <c r="B39" s="3" t="s">
        <v>33</v>
      </c>
      <c r="C39" s="9" t="n">
        <v>0.03</v>
      </c>
    </row>
    <row r="40" customFormat="false" ht="15" hidden="false" customHeight="false" outlineLevel="0" collapsed="false">
      <c r="B40" s="3" t="s">
        <v>34</v>
      </c>
      <c r="C40" s="9" t="n">
        <v>0.04</v>
      </c>
    </row>
    <row r="41" customFormat="false" ht="15" hidden="false" customHeight="false" outlineLevel="0" collapsed="false">
      <c r="B41" s="3" t="s">
        <v>35</v>
      </c>
      <c r="C41" s="9" t="n">
        <v>0.1</v>
      </c>
    </row>
    <row r="42" customFormat="false" ht="15" hidden="false" customHeight="false" outlineLevel="0" collapsed="false">
      <c r="B42" s="3" t="s">
        <v>36</v>
      </c>
      <c r="C42" s="9" t="n">
        <v>0.25</v>
      </c>
    </row>
    <row r="44" customFormat="false" ht="15" hidden="false" customHeight="false" outlineLevel="0" collapsed="false">
      <c r="B44" s="2" t="s">
        <v>37</v>
      </c>
      <c r="C44" s="2"/>
      <c r="D44" s="2"/>
    </row>
    <row r="45" customFormat="false" ht="15" hidden="false" customHeight="false" outlineLevel="0" collapsed="false">
      <c r="B45" s="3" t="s">
        <v>38</v>
      </c>
      <c r="C45" s="13" t="n">
        <v>5</v>
      </c>
    </row>
    <row r="46" customFormat="false" ht="15" hidden="false" customHeight="false" outlineLevel="0" collapsed="false">
      <c r="B46" s="3" t="s">
        <v>39</v>
      </c>
      <c r="C46" s="5" t="n">
        <v>10</v>
      </c>
    </row>
  </sheetData>
  <mergeCells count="7">
    <mergeCell ref="B1:D1"/>
    <mergeCell ref="B3:D3"/>
    <mergeCell ref="B13:D13"/>
    <mergeCell ref="B22:D22"/>
    <mergeCell ref="B29:D29"/>
    <mergeCell ref="B35:D35"/>
    <mergeCell ref="B44:D4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B1:I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5"/>
    <col collapsed="false" customWidth="true" hidden="false" outlineLevel="0" max="9" min="3" style="0" width="16"/>
  </cols>
  <sheetData>
    <row r="1" customFormat="false" ht="31.5" hidden="false" customHeight="true" outlineLevel="0" collapsed="false">
      <c r="B1" s="14" t="s">
        <v>40</v>
      </c>
      <c r="C1" s="14"/>
      <c r="D1" s="14"/>
      <c r="E1" s="14"/>
      <c r="F1" s="14"/>
      <c r="G1" s="14"/>
      <c r="H1" s="14"/>
      <c r="I1" s="14"/>
    </row>
    <row r="2" customFormat="false" ht="15" hidden="false" customHeight="false" outlineLevel="0" collapsed="false">
      <c r="C2" s="15" t="s">
        <v>41</v>
      </c>
      <c r="H2" s="15" t="s">
        <v>42</v>
      </c>
    </row>
    <row r="3" customFormat="false" ht="15" hidden="false" customHeight="false" outlineLevel="0" collapsed="false">
      <c r="B3" s="16" t="s">
        <v>43</v>
      </c>
      <c r="C3" s="17" t="n">
        <v>0</v>
      </c>
      <c r="D3" s="17" t="n">
        <v>1</v>
      </c>
      <c r="E3" s="17" t="n">
        <v>2</v>
      </c>
      <c r="F3" s="17" t="n">
        <v>3</v>
      </c>
      <c r="G3" s="17" t="n">
        <v>4</v>
      </c>
      <c r="H3" s="17" t="n">
        <v>5</v>
      </c>
      <c r="I3" s="16"/>
    </row>
    <row r="5" customFormat="false" ht="15" hidden="false" customHeight="false" outlineLevel="0" collapsed="false">
      <c r="B5" s="2" t="s">
        <v>44</v>
      </c>
      <c r="C5" s="2"/>
      <c r="D5" s="2"/>
      <c r="E5" s="2"/>
      <c r="F5" s="2"/>
      <c r="G5" s="2"/>
      <c r="H5" s="2"/>
    </row>
    <row r="6" customFormat="false" ht="15" hidden="false" customHeight="false" outlineLevel="0" collapsed="false">
      <c r="B6" s="3" t="s">
        <v>45</v>
      </c>
      <c r="C6" s="18" t="n">
        <f aca="false">Transaction!C36</f>
        <v>500</v>
      </c>
      <c r="D6" s="6" t="n">
        <f aca="false">C6*(1+Transaction!$C$37)</f>
        <v>540</v>
      </c>
      <c r="E6" s="6" t="n">
        <f aca="false">D6*(1+Transaction!$C$37)</f>
        <v>583.2</v>
      </c>
      <c r="F6" s="6" t="n">
        <f aca="false">E6*(1+Transaction!$C$37)</f>
        <v>629.856</v>
      </c>
      <c r="G6" s="6" t="n">
        <f aca="false">F6*(1+Transaction!$C$37)</f>
        <v>680.24448</v>
      </c>
      <c r="H6" s="6" t="n">
        <f aca="false">G6*(1+Transaction!$C$37)</f>
        <v>734.6640384</v>
      </c>
    </row>
    <row r="7" customFormat="false" ht="15" hidden="false" customHeight="false" outlineLevel="0" collapsed="false">
      <c r="B7" s="3" t="s">
        <v>46</v>
      </c>
      <c r="C7" s="6" t="n">
        <f aca="false">C6*Transaction!$C$38</f>
        <v>100</v>
      </c>
      <c r="D7" s="6" t="n">
        <f aca="false">D6*Transaction!$C$38</f>
        <v>108</v>
      </c>
      <c r="E7" s="6" t="n">
        <f aca="false">E6*Transaction!$C$38</f>
        <v>116.64</v>
      </c>
      <c r="F7" s="6" t="n">
        <f aca="false">F6*Transaction!$C$38</f>
        <v>125.9712</v>
      </c>
      <c r="G7" s="6" t="n">
        <f aca="false">G6*Transaction!$C$38</f>
        <v>136.048896</v>
      </c>
      <c r="H7" s="6" t="n">
        <f aca="false">H6*Transaction!$C$38</f>
        <v>146.93280768</v>
      </c>
    </row>
    <row r="8" customFormat="false" ht="15" hidden="false" customHeight="false" outlineLevel="0" collapsed="false">
      <c r="B8" s="19" t="s">
        <v>47</v>
      </c>
      <c r="C8" s="6" t="n">
        <f aca="false">-C6*Transaction!$C$39</f>
        <v>-15</v>
      </c>
      <c r="D8" s="6" t="n">
        <f aca="false">-D6*Transaction!$C$39</f>
        <v>-16.2</v>
      </c>
      <c r="E8" s="6" t="n">
        <f aca="false">-E6*Transaction!$C$39</f>
        <v>-17.496</v>
      </c>
      <c r="F8" s="6" t="n">
        <f aca="false">-F6*Transaction!$C$39</f>
        <v>-18.89568</v>
      </c>
      <c r="G8" s="6" t="n">
        <f aca="false">-G6*Transaction!$C$39</f>
        <v>-20.4073344</v>
      </c>
      <c r="H8" s="6" t="n">
        <f aca="false">-H6*Transaction!$C$39</f>
        <v>-22.039921152</v>
      </c>
    </row>
    <row r="9" customFormat="false" ht="15" hidden="false" customHeight="false" outlineLevel="0" collapsed="false">
      <c r="B9" s="3" t="s">
        <v>48</v>
      </c>
      <c r="C9" s="7" t="n">
        <f aca="false">C7+C8</f>
        <v>85</v>
      </c>
      <c r="D9" s="7" t="n">
        <f aca="false">D7+D8</f>
        <v>91.8</v>
      </c>
      <c r="E9" s="7" t="n">
        <f aca="false">E7+E8</f>
        <v>99.144</v>
      </c>
      <c r="F9" s="7" t="n">
        <f aca="false">F7+F8</f>
        <v>107.07552</v>
      </c>
      <c r="G9" s="7" t="n">
        <f aca="false">G7+G8</f>
        <v>115.6415616</v>
      </c>
      <c r="H9" s="7" t="n">
        <f aca="false">H7+H8</f>
        <v>124.892886528</v>
      </c>
    </row>
    <row r="10" customFormat="false" ht="15" hidden="false" customHeight="false" outlineLevel="0" collapsed="false">
      <c r="B10" s="19" t="s">
        <v>49</v>
      </c>
      <c r="C10" s="6" t="n">
        <f aca="false">-'Debt Schedule'!C6*Transaction!$C$30</f>
        <v>-29.55</v>
      </c>
      <c r="D10" s="6" t="n">
        <f aca="false">-'Debt Schedule'!D6*Transaction!$C$30</f>
        <v>-27.713625</v>
      </c>
      <c r="E10" s="6" t="n">
        <f aca="false">-'Debt Schedule'!E6*Transaction!$C$30</f>
        <v>-25.8149315625</v>
      </c>
      <c r="F10" s="6" t="n">
        <f aca="false">-'Debt Schedule'!F6*Transaction!$C$30</f>
        <v>-23.7308375226563</v>
      </c>
      <c r="G10" s="6" t="n">
        <f aca="false">-'Debt Schedule'!G6*Transaction!$C$30</f>
        <v>-21.445756966916</v>
      </c>
      <c r="H10" s="6" t="n">
        <f aca="false">-'Debt Schedule'!H6*Transaction!$C$30</f>
        <v>-18.9428401466716</v>
      </c>
    </row>
    <row r="11" customFormat="false" ht="15" hidden="false" customHeight="false" outlineLevel="0" collapsed="false">
      <c r="B11" s="19" t="s">
        <v>50</v>
      </c>
      <c r="C11" s="6" t="n">
        <f aca="false">-'Debt Schedule'!C11*Transaction!$C$31</f>
        <v>-0</v>
      </c>
      <c r="D11" s="6" t="n">
        <f aca="false">-'Debt Schedule'!D11*Transaction!$C$31</f>
        <v>-0</v>
      </c>
      <c r="E11" s="6" t="n">
        <f aca="false">-'Debt Schedule'!E11*Transaction!$C$31</f>
        <v>-0</v>
      </c>
      <c r="F11" s="6" t="n">
        <f aca="false">-'Debt Schedule'!F11*Transaction!$C$31</f>
        <v>-0</v>
      </c>
      <c r="G11" s="6" t="n">
        <f aca="false">-'Debt Schedule'!G11*Transaction!$C$31</f>
        <v>-0</v>
      </c>
      <c r="H11" s="6" t="n">
        <f aca="false">-'Debt Schedule'!H11*Transaction!$C$31</f>
        <v>-0</v>
      </c>
    </row>
    <row r="12" customFormat="false" ht="15" hidden="false" customHeight="false" outlineLevel="0" collapsed="false">
      <c r="B12" s="3" t="s">
        <v>51</v>
      </c>
      <c r="C12" s="6" t="n">
        <f aca="false">C9+C10+C11</f>
        <v>55.45</v>
      </c>
      <c r="D12" s="6" t="n">
        <f aca="false">D9+D10+D11</f>
        <v>64.086375</v>
      </c>
      <c r="E12" s="6" t="n">
        <f aca="false">E9+E10+E11</f>
        <v>73.3290684375</v>
      </c>
      <c r="F12" s="6" t="n">
        <f aca="false">F9+F10+F11</f>
        <v>83.3446824773438</v>
      </c>
      <c r="G12" s="6" t="n">
        <f aca="false">G9+G10+G11</f>
        <v>94.195804633084</v>
      </c>
      <c r="H12" s="6" t="n">
        <f aca="false">H9+H10+H11</f>
        <v>105.950046381328</v>
      </c>
    </row>
    <row r="13" customFormat="false" ht="15" hidden="false" customHeight="false" outlineLevel="0" collapsed="false">
      <c r="B13" s="19" t="s">
        <v>52</v>
      </c>
      <c r="C13" s="6" t="n">
        <f aca="false">-MAX(C12,0)*Transaction!$C$42</f>
        <v>-13.8625</v>
      </c>
      <c r="D13" s="6" t="n">
        <f aca="false">-MAX(D12,0)*Transaction!$C$42</f>
        <v>-16.02159375</v>
      </c>
      <c r="E13" s="6" t="n">
        <f aca="false">-MAX(E12,0)*Transaction!$C$42</f>
        <v>-18.332267109375</v>
      </c>
      <c r="F13" s="6" t="n">
        <f aca="false">-MAX(F12,0)*Transaction!$C$42</f>
        <v>-20.8361706193359</v>
      </c>
      <c r="G13" s="6" t="n">
        <f aca="false">-MAX(G12,0)*Transaction!$C$42</f>
        <v>-23.548951158271</v>
      </c>
      <c r="H13" s="6" t="n">
        <f aca="false">-MAX(H12,0)*Transaction!$C$42</f>
        <v>-26.4875115953321</v>
      </c>
    </row>
    <row r="14" customFormat="false" ht="15" hidden="false" customHeight="false" outlineLevel="0" collapsed="false">
      <c r="B14" s="3" t="s">
        <v>53</v>
      </c>
      <c r="C14" s="20" t="n">
        <f aca="false">C12+C13</f>
        <v>41.5875</v>
      </c>
      <c r="D14" s="20" t="n">
        <f aca="false">D12+D13</f>
        <v>48.06478125</v>
      </c>
      <c r="E14" s="20" t="n">
        <f aca="false">E12+E13</f>
        <v>54.996801328125</v>
      </c>
      <c r="F14" s="20" t="n">
        <f aca="false">F12+F13</f>
        <v>62.5085118580078</v>
      </c>
      <c r="G14" s="20" t="n">
        <f aca="false">G12+G13</f>
        <v>70.646853474813</v>
      </c>
      <c r="H14" s="20" t="n">
        <f aca="false">H12+H13</f>
        <v>79.4625347859963</v>
      </c>
    </row>
    <row r="16" customFormat="false" ht="15" hidden="false" customHeight="false" outlineLevel="0" collapsed="false">
      <c r="B16" s="2" t="s">
        <v>54</v>
      </c>
      <c r="C16" s="2"/>
      <c r="D16" s="2"/>
      <c r="E16" s="2"/>
      <c r="F16" s="2"/>
      <c r="G16" s="2"/>
      <c r="H16" s="2"/>
    </row>
    <row r="17" customFormat="false" ht="15" hidden="false" customHeight="false" outlineLevel="0" collapsed="false">
      <c r="B17" s="3" t="s">
        <v>53</v>
      </c>
      <c r="C17" s="6" t="n">
        <f aca="false">C14</f>
        <v>41.5875</v>
      </c>
      <c r="D17" s="6" t="n">
        <f aca="false">D14</f>
        <v>48.06478125</v>
      </c>
      <c r="E17" s="6" t="n">
        <f aca="false">E14</f>
        <v>54.996801328125</v>
      </c>
      <c r="F17" s="6" t="n">
        <f aca="false">F14</f>
        <v>62.5085118580078</v>
      </c>
      <c r="G17" s="6" t="n">
        <f aca="false">G14</f>
        <v>70.646853474813</v>
      </c>
      <c r="H17" s="6" t="n">
        <f aca="false">H14</f>
        <v>79.4625347859963</v>
      </c>
    </row>
    <row r="18" customFormat="false" ht="15" hidden="false" customHeight="false" outlineLevel="0" collapsed="false">
      <c r="B18" s="19" t="s">
        <v>55</v>
      </c>
      <c r="C18" s="6" t="n">
        <f aca="false">-C8</f>
        <v>15</v>
      </c>
      <c r="D18" s="6" t="n">
        <f aca="false">-D8</f>
        <v>16.2</v>
      </c>
      <c r="E18" s="6" t="n">
        <f aca="false">-E8</f>
        <v>17.496</v>
      </c>
      <c r="F18" s="6" t="n">
        <f aca="false">-F8</f>
        <v>18.89568</v>
      </c>
      <c r="G18" s="6" t="n">
        <f aca="false">-G8</f>
        <v>20.4073344</v>
      </c>
      <c r="H18" s="6" t="n">
        <f aca="false">-H8</f>
        <v>22.039921152</v>
      </c>
    </row>
    <row r="19" customFormat="false" ht="15" hidden="false" customHeight="false" outlineLevel="0" collapsed="false">
      <c r="B19" s="19" t="s">
        <v>56</v>
      </c>
      <c r="C19" s="6" t="n">
        <f aca="false">-C6*Transaction!$C$40</f>
        <v>-20</v>
      </c>
      <c r="D19" s="6" t="n">
        <f aca="false">-D6*Transaction!$C$40</f>
        <v>-21.6</v>
      </c>
      <c r="E19" s="6" t="n">
        <f aca="false">-E6*Transaction!$C$40</f>
        <v>-23.328</v>
      </c>
      <c r="F19" s="6" t="n">
        <f aca="false">-F6*Transaction!$C$40</f>
        <v>-25.19424</v>
      </c>
      <c r="G19" s="6" t="n">
        <f aca="false">-G6*Transaction!$C$40</f>
        <v>-27.2097792</v>
      </c>
      <c r="H19" s="6" t="n">
        <f aca="false">-H6*Transaction!$C$40</f>
        <v>-29.386561536</v>
      </c>
    </row>
    <row r="20" customFormat="false" ht="15" hidden="false" customHeight="false" outlineLevel="0" collapsed="false">
      <c r="B20" s="19" t="s">
        <v>57</v>
      </c>
      <c r="C20" s="21" t="n">
        <v>0</v>
      </c>
      <c r="D20" s="6" t="n">
        <f aca="false">-Transaction!$C$41*(D6-C6)</f>
        <v>-4</v>
      </c>
      <c r="E20" s="6" t="n">
        <f aca="false">-Transaction!$C$41*(E6-D6)</f>
        <v>-4.32000000000001</v>
      </c>
      <c r="F20" s="6" t="n">
        <f aca="false">-Transaction!$C$41*(F6-E6)</f>
        <v>-4.66560000000001</v>
      </c>
      <c r="G20" s="6" t="n">
        <f aca="false">-Transaction!$C$41*(G6-F6)</f>
        <v>-5.03884800000001</v>
      </c>
      <c r="H20" s="6" t="n">
        <f aca="false">-Transaction!$C$41*(H6-G6)</f>
        <v>-5.44195584</v>
      </c>
    </row>
    <row r="21" customFormat="false" ht="15" hidden="false" customHeight="false" outlineLevel="0" collapsed="false">
      <c r="B21" s="3" t="s">
        <v>58</v>
      </c>
      <c r="C21" s="20" t="n">
        <f aca="false">C17+C18+C19+C20</f>
        <v>36.5875</v>
      </c>
      <c r="D21" s="20" t="n">
        <f aca="false">D17+D18+D19+D20</f>
        <v>38.66478125</v>
      </c>
      <c r="E21" s="20" t="n">
        <f aca="false">E17+E18+E19+E20</f>
        <v>44.844801328125</v>
      </c>
      <c r="F21" s="20" t="n">
        <f aca="false">F17+F18+F19+F20</f>
        <v>51.5443518580078</v>
      </c>
      <c r="G21" s="20" t="n">
        <f aca="false">G17+G18+G19+G20</f>
        <v>58.805560674813</v>
      </c>
      <c r="H21" s="20" t="n">
        <f aca="false">H17+H18+H19+H20</f>
        <v>66.6739385619963</v>
      </c>
    </row>
  </sheetData>
  <mergeCells count="3">
    <mergeCell ref="B1:I1"/>
    <mergeCell ref="B5:H5"/>
    <mergeCell ref="B16:H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B1:H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5"/>
    <col collapsed="false" customWidth="true" hidden="false" outlineLevel="0" max="9" min="3" style="0" width="16"/>
  </cols>
  <sheetData>
    <row r="1" customFormat="false" ht="31.5" hidden="false" customHeight="true" outlineLevel="0" collapsed="false">
      <c r="B1" s="14" t="s">
        <v>59</v>
      </c>
      <c r="C1" s="14"/>
      <c r="D1" s="14"/>
      <c r="E1" s="14"/>
      <c r="F1" s="14"/>
      <c r="G1" s="14"/>
      <c r="H1" s="14"/>
    </row>
    <row r="3" customFormat="false" ht="15" hidden="false" customHeight="false" outlineLevel="0" collapsed="false">
      <c r="B3" s="16" t="s">
        <v>43</v>
      </c>
      <c r="C3" s="17" t="n">
        <v>0</v>
      </c>
      <c r="D3" s="17" t="n">
        <v>1</v>
      </c>
      <c r="E3" s="17" t="n">
        <v>2</v>
      </c>
      <c r="F3" s="17" t="n">
        <v>3</v>
      </c>
      <c r="G3" s="17" t="n">
        <v>4</v>
      </c>
      <c r="H3" s="17" t="n">
        <v>5</v>
      </c>
    </row>
    <row r="5" customFormat="false" ht="15" hidden="false" customHeight="false" outlineLevel="0" collapsed="false">
      <c r="B5" s="2" t="s">
        <v>60</v>
      </c>
      <c r="C5" s="2"/>
      <c r="D5" s="2"/>
      <c r="E5" s="2"/>
      <c r="F5" s="2"/>
      <c r="G5" s="2"/>
      <c r="H5" s="2"/>
    </row>
    <row r="6" customFormat="false" ht="15" hidden="false" customHeight="false" outlineLevel="0" collapsed="false">
      <c r="B6" s="3" t="s">
        <v>61</v>
      </c>
      <c r="C6" s="18" t="n">
        <f aca="false">Transaction!C24</f>
        <v>492.5</v>
      </c>
      <c r="D6" s="6" t="n">
        <f aca="false">C9</f>
        <v>461.89375</v>
      </c>
      <c r="E6" s="6" t="n">
        <f aca="false">D9</f>
        <v>430.248859375</v>
      </c>
      <c r="F6" s="6" t="n">
        <f aca="false">E9</f>
        <v>395.513958710938</v>
      </c>
      <c r="G6" s="6" t="n">
        <f aca="false">F9</f>
        <v>357.429282781934</v>
      </c>
      <c r="H6" s="6" t="n">
        <f aca="false">G9</f>
        <v>315.714002444527</v>
      </c>
    </row>
    <row r="7" customFormat="false" ht="15" hidden="false" customHeight="false" outlineLevel="0" collapsed="false">
      <c r="B7" s="19" t="s">
        <v>62</v>
      </c>
      <c r="C7" s="6" t="n">
        <f aca="false">-MIN(C6,Transaction!$C$32*Transaction!$C$24)</f>
        <v>-24.625</v>
      </c>
      <c r="D7" s="6" t="n">
        <f aca="false">-MIN(D6,Transaction!$C$32*Transaction!$C$24)</f>
        <v>-24.625</v>
      </c>
      <c r="E7" s="6" t="n">
        <f aca="false">-MIN(E6,Transaction!$C$32*Transaction!$C$24)</f>
        <v>-24.625</v>
      </c>
      <c r="F7" s="6" t="n">
        <f aca="false">-MIN(F6,Transaction!$C$32*Transaction!$C$24)</f>
        <v>-24.625</v>
      </c>
      <c r="G7" s="6" t="n">
        <f aca="false">-MIN(G6,Transaction!$C$32*Transaction!$C$24)</f>
        <v>-24.625</v>
      </c>
      <c r="H7" s="6" t="n">
        <f aca="false">-MIN(H6,Transaction!$C$32*Transaction!$C$24)</f>
        <v>-24.625</v>
      </c>
    </row>
    <row r="8" customFormat="false" ht="15" hidden="false" customHeight="false" outlineLevel="0" collapsed="false">
      <c r="B8" s="19" t="s">
        <v>63</v>
      </c>
      <c r="C8" s="6" t="n">
        <f aca="false">-MIN(C6+C7,MAX(0,'Operating Model'!C21+C7)*Transaction!$C$33)</f>
        <v>-5.98125</v>
      </c>
      <c r="D8" s="6" t="n">
        <f aca="false">-MIN(D6+D7,MAX(0,'Operating Model'!D21+D7)*Transaction!$C$33)</f>
        <v>-7.019890625</v>
      </c>
      <c r="E8" s="6" t="n">
        <f aca="false">-MIN(E6+E7,MAX(0,'Operating Model'!E21+E7)*Transaction!$C$33)</f>
        <v>-10.1099006640625</v>
      </c>
      <c r="F8" s="6" t="n">
        <f aca="false">-MIN(F6+F7,MAX(0,'Operating Model'!F21+F7)*Transaction!$C$33)</f>
        <v>-13.4596759290039</v>
      </c>
      <c r="G8" s="6" t="n">
        <f aca="false">-MIN(G6+G7,MAX(0,'Operating Model'!G21+G7)*Transaction!$C$33)</f>
        <v>-17.0902803374065</v>
      </c>
      <c r="H8" s="6" t="n">
        <f aca="false">-MIN(H6+H7,MAX(0,'Operating Model'!H21+H7)*Transaction!$C$33)</f>
        <v>-21.0244692809982</v>
      </c>
    </row>
    <row r="9" customFormat="false" ht="15" hidden="false" customHeight="false" outlineLevel="0" collapsed="false">
      <c r="B9" s="3" t="s">
        <v>64</v>
      </c>
      <c r="C9" s="20" t="n">
        <f aca="false">C6+C7+C8</f>
        <v>461.89375</v>
      </c>
      <c r="D9" s="20" t="n">
        <f aca="false">D6+D7+D8</f>
        <v>430.248859375</v>
      </c>
      <c r="E9" s="20" t="n">
        <f aca="false">E6+E7+E8</f>
        <v>395.513958710938</v>
      </c>
      <c r="F9" s="20" t="n">
        <f aca="false">F6+F7+F8</f>
        <v>357.429282781934</v>
      </c>
      <c r="G9" s="20" t="n">
        <f aca="false">G6+G7+G8</f>
        <v>315.714002444527</v>
      </c>
      <c r="H9" s="20" t="n">
        <f aca="false">H6+H7+H8</f>
        <v>270.064533163529</v>
      </c>
    </row>
    <row r="11" customFormat="false" ht="15" hidden="false" customHeight="false" outlineLevel="0" collapsed="false">
      <c r="B11" s="2" t="s">
        <v>65</v>
      </c>
      <c r="C11" s="2"/>
      <c r="D11" s="2"/>
      <c r="E11" s="2"/>
      <c r="F11" s="2"/>
      <c r="G11" s="2"/>
      <c r="H11" s="2"/>
    </row>
    <row r="12" customFormat="false" ht="15" hidden="false" customHeight="false" outlineLevel="0" collapsed="false">
      <c r="B12" s="3" t="s">
        <v>61</v>
      </c>
      <c r="C12" s="18" t="n">
        <f aca="false">Transaction!C25</f>
        <v>197</v>
      </c>
      <c r="D12" s="6" t="n">
        <f aca="false">C13</f>
        <v>197</v>
      </c>
      <c r="E12" s="6" t="n">
        <f aca="false">D13</f>
        <v>197</v>
      </c>
      <c r="F12" s="6" t="n">
        <f aca="false">E13</f>
        <v>197</v>
      </c>
      <c r="G12" s="6" t="n">
        <f aca="false">F13</f>
        <v>197</v>
      </c>
      <c r="H12" s="6" t="n">
        <f aca="false">G13</f>
        <v>197</v>
      </c>
    </row>
    <row r="13" customFormat="false" ht="15" hidden="false" customHeight="false" outlineLevel="0" collapsed="false">
      <c r="B13" s="3" t="s">
        <v>66</v>
      </c>
      <c r="C13" s="20" t="n">
        <f aca="false">C12</f>
        <v>197</v>
      </c>
      <c r="D13" s="20" t="n">
        <f aca="false">D12</f>
        <v>197</v>
      </c>
      <c r="E13" s="20" t="n">
        <f aca="false">E12</f>
        <v>197</v>
      </c>
      <c r="F13" s="20" t="n">
        <f aca="false">F12</f>
        <v>197</v>
      </c>
      <c r="G13" s="20" t="n">
        <f aca="false">G12</f>
        <v>197</v>
      </c>
      <c r="H13" s="20" t="n">
        <f aca="false">H12</f>
        <v>197</v>
      </c>
    </row>
    <row r="15" customFormat="false" ht="15" hidden="false" customHeight="false" outlineLevel="0" collapsed="false">
      <c r="B15" s="3" t="s">
        <v>67</v>
      </c>
      <c r="C15" s="20" t="n">
        <f aca="false">C9+C13</f>
        <v>658.89375</v>
      </c>
      <c r="D15" s="20" t="n">
        <f aca="false">D9+D13</f>
        <v>627.248859375</v>
      </c>
      <c r="E15" s="20" t="n">
        <f aca="false">E9+E13</f>
        <v>592.513958710938</v>
      </c>
      <c r="F15" s="20" t="n">
        <f aca="false">F9+F13</f>
        <v>554.429282781934</v>
      </c>
      <c r="G15" s="20" t="n">
        <f aca="false">G9+G13</f>
        <v>512.714002444527</v>
      </c>
      <c r="H15" s="20" t="n">
        <f aca="false">H9+H13</f>
        <v>467.064533163529</v>
      </c>
    </row>
    <row r="17" customFormat="false" ht="15" hidden="false" customHeight="false" outlineLevel="0" collapsed="false">
      <c r="B17" s="2" t="s">
        <v>68</v>
      </c>
      <c r="C17" s="2"/>
      <c r="D17" s="2"/>
      <c r="E17" s="2"/>
      <c r="F17" s="2"/>
      <c r="G17" s="2"/>
      <c r="H17" s="2"/>
    </row>
    <row r="18" customFormat="false" ht="15" hidden="false" customHeight="false" outlineLevel="0" collapsed="false">
      <c r="B18" s="3" t="s">
        <v>69</v>
      </c>
      <c r="C18" s="22" t="n">
        <f aca="false">IF('Operating Model'!C7=0,0,C15/'Operating Model'!C7)</f>
        <v>6.5889375</v>
      </c>
      <c r="D18" s="22" t="n">
        <f aca="false">IF('Operating Model'!D7=0,0,D15/'Operating Model'!D7)</f>
        <v>5.80785980902778</v>
      </c>
      <c r="E18" s="22" t="n">
        <f aca="false">IF('Operating Model'!E7=0,0,E15/'Operating Model'!E7)</f>
        <v>5.07985218373575</v>
      </c>
      <c r="F18" s="22" t="n">
        <f aca="false">IF('Operating Model'!F7=0,0,F15/'Operating Model'!F7)</f>
        <v>4.40123840037988</v>
      </c>
      <c r="G18" s="22" t="n">
        <f aca="false">IF('Operating Model'!G7=0,0,G15/'Operating Model'!G7)</f>
        <v>3.76860097743481</v>
      </c>
      <c r="H18" s="22" t="n">
        <f aca="false">IF('Operating Model'!H7=0,0,H15/'Operating Model'!H7)</f>
        <v>3.17876273201512</v>
      </c>
    </row>
    <row r="19" customFormat="false" ht="15" hidden="false" customHeight="false" outlineLevel="0" collapsed="false">
      <c r="B19" s="3" t="s">
        <v>70</v>
      </c>
      <c r="C19" s="22" t="n">
        <f aca="false">IF(('Operating Model'!C10+'Operating Model'!C11)=0,0,'Operating Model'!C7/(-'Operating Model'!C10-'Operating Model'!C11))</f>
        <v>3.38409475465313</v>
      </c>
      <c r="D19" s="22" t="n">
        <f aca="false">IF(('Operating Model'!D10+'Operating Model'!D11)=0,0,'Operating Model'!D7/(-'Operating Model'!D10-'Operating Model'!D11))</f>
        <v>3.89700012178125</v>
      </c>
      <c r="E19" s="22" t="n">
        <f aca="false">IF(('Operating Model'!E10+'Operating Model'!E11)=0,0,'Operating Model'!E7/(-'Operating Model'!E10-'Operating Model'!E11))</f>
        <v>4.5183152904204</v>
      </c>
      <c r="F19" s="22" t="n">
        <f aca="false">IF(('Operating Model'!F10+'Operating Model'!F11)=0,0,'Operating Model'!F7/(-'Operating Model'!F10-'Operating Model'!F11))</f>
        <v>5.30833350823514</v>
      </c>
      <c r="G19" s="22" t="n">
        <f aca="false">IF(('Operating Model'!G10+'Operating Model'!G11)=0,0,'Operating Model'!G7/(-'Operating Model'!G10-'Operating Model'!G11))</f>
        <v>6.3438607557607</v>
      </c>
      <c r="H19" s="22" t="n">
        <f aca="false">IF(('Operating Model'!H10+'Operating Model'!H11)=0,0,'Operating Model'!H7/(-'Operating Model'!H10-'Operating Model'!H11))</f>
        <v>7.75664084911877</v>
      </c>
    </row>
  </sheetData>
  <mergeCells count="4">
    <mergeCell ref="B1:H1"/>
    <mergeCell ref="B5:H5"/>
    <mergeCell ref="B11:H11"/>
    <mergeCell ref="B17:H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B1:G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8"/>
    <col collapsed="false" customWidth="true" hidden="false" outlineLevel="0" max="4" min="3" style="0" width="20"/>
  </cols>
  <sheetData>
    <row r="1" customFormat="false" ht="31.5" hidden="false" customHeight="true" outlineLevel="0" collapsed="false">
      <c r="B1" s="14" t="s">
        <v>71</v>
      </c>
      <c r="C1" s="14"/>
      <c r="D1" s="14"/>
    </row>
    <row r="3" customFormat="false" ht="15" hidden="false" customHeight="false" outlineLevel="0" collapsed="false">
      <c r="B3" s="2" t="s">
        <v>72</v>
      </c>
      <c r="C3" s="2"/>
      <c r="D3" s="2"/>
    </row>
    <row r="4" customFormat="false" ht="15" hidden="false" customHeight="false" outlineLevel="0" collapsed="false">
      <c r="B4" s="3" t="s">
        <v>73</v>
      </c>
      <c r="C4" s="18" t="n">
        <f aca="false">'Operating Model'!H7</f>
        <v>146.93280768</v>
      </c>
    </row>
    <row r="5" customFormat="false" ht="15" hidden="false" customHeight="false" outlineLevel="0" collapsed="false">
      <c r="B5" s="3" t="s">
        <v>39</v>
      </c>
      <c r="C5" s="23" t="n">
        <f aca="false">Transaction!C46</f>
        <v>10</v>
      </c>
    </row>
    <row r="6" customFormat="false" ht="15" hidden="false" customHeight="false" outlineLevel="0" collapsed="false">
      <c r="B6" s="3" t="s">
        <v>74</v>
      </c>
      <c r="C6" s="6" t="n">
        <f aca="false">C4*C5</f>
        <v>1469.3280768</v>
      </c>
    </row>
    <row r="7" customFormat="false" ht="15" hidden="false" customHeight="false" outlineLevel="0" collapsed="false">
      <c r="B7" s="19" t="s">
        <v>75</v>
      </c>
      <c r="C7" s="18" t="n">
        <f aca="false">-'Debt Schedule'!H15</f>
        <v>-467.064533163529</v>
      </c>
    </row>
    <row r="8" customFormat="false" ht="15" hidden="false" customHeight="false" outlineLevel="0" collapsed="false">
      <c r="B8" s="3" t="s">
        <v>76</v>
      </c>
      <c r="C8" s="20" t="n">
        <f aca="false">C6+C7</f>
        <v>1002.26354363647</v>
      </c>
    </row>
    <row r="10" customFormat="false" ht="15" hidden="false" customHeight="false" outlineLevel="0" collapsed="false">
      <c r="B10" s="2" t="s">
        <v>77</v>
      </c>
      <c r="C10" s="2"/>
      <c r="D10" s="2"/>
    </row>
    <row r="11" customFormat="false" ht="15" hidden="false" customHeight="false" outlineLevel="0" collapsed="false">
      <c r="B11" s="3" t="s">
        <v>78</v>
      </c>
      <c r="C11" s="18" t="n">
        <f aca="false">Transaction!C26</f>
        <v>295.5</v>
      </c>
    </row>
    <row r="12" customFormat="false" ht="15" hidden="false" customHeight="false" outlineLevel="0" collapsed="false">
      <c r="B12" s="3" t="s">
        <v>76</v>
      </c>
      <c r="C12" s="6" t="n">
        <f aca="false">C8</f>
        <v>1002.26354363647</v>
      </c>
    </row>
    <row r="14" customFormat="false" ht="15" hidden="false" customHeight="false" outlineLevel="0" collapsed="false">
      <c r="B14" s="3" t="s">
        <v>79</v>
      </c>
      <c r="C14" s="24" t="n">
        <f aca="false">IF(C11=0,0,C12/C11)</f>
        <v>3.39175480080024</v>
      </c>
    </row>
    <row r="15" customFormat="false" ht="15" hidden="false" customHeight="false" outlineLevel="0" collapsed="false">
      <c r="B15" s="3" t="s">
        <v>80</v>
      </c>
      <c r="C15" s="25" t="n">
        <f aca="false">IF(C11=0,0,(C12/C11)^(1/Transaction!C45)-1)</f>
        <v>0.276688333210215</v>
      </c>
    </row>
    <row r="17" customFormat="false" ht="15" hidden="false" customHeight="false" outlineLevel="0" collapsed="false">
      <c r="B17" s="2" t="s">
        <v>81</v>
      </c>
      <c r="C17" s="2"/>
      <c r="D17" s="2"/>
    </row>
    <row r="18" customFormat="false" ht="15" hidden="false" customHeight="false" outlineLevel="0" collapsed="false">
      <c r="B18" s="3" t="s">
        <v>82</v>
      </c>
      <c r="C18" s="6" t="n">
        <f aca="false">C11</f>
        <v>295.5</v>
      </c>
    </row>
    <row r="19" customFormat="false" ht="15" hidden="false" customHeight="false" outlineLevel="0" collapsed="false">
      <c r="B19" s="19" t="s">
        <v>83</v>
      </c>
      <c r="C19" s="6" t="n">
        <f aca="false">(C4-Transaction!C4)*Transaction!C5</f>
        <v>469.328076800001</v>
      </c>
    </row>
    <row r="20" customFormat="false" ht="15" hidden="false" customHeight="false" outlineLevel="0" collapsed="false">
      <c r="B20" s="19" t="s">
        <v>84</v>
      </c>
      <c r="C20" s="6" t="n">
        <f aca="false">C4*(C5-Transaction!C5)</f>
        <v>0</v>
      </c>
    </row>
    <row r="21" customFormat="false" ht="15" hidden="false" customHeight="false" outlineLevel="0" collapsed="false">
      <c r="B21" s="19" t="s">
        <v>85</v>
      </c>
      <c r="C21" s="6" t="n">
        <f aca="false">Transaction!C24+Transaction!C25+'Debt Schedule'!H15</f>
        <v>1156.56453316353</v>
      </c>
    </row>
    <row r="22" customFormat="false" ht="15" hidden="false" customHeight="false" outlineLevel="0" collapsed="false">
      <c r="B22" s="3" t="s">
        <v>86</v>
      </c>
      <c r="C22" s="20" t="n">
        <f aca="false">C18+C19+C20+C21</f>
        <v>1921.39260996353</v>
      </c>
    </row>
    <row r="24" customFormat="false" ht="15" hidden="false" customHeight="false" outlineLevel="0" collapsed="false">
      <c r="B24" s="2" t="s">
        <v>87</v>
      </c>
      <c r="C24" s="2"/>
      <c r="D24" s="2"/>
      <c r="E24" s="26"/>
      <c r="F24" s="26"/>
      <c r="G24" s="26"/>
    </row>
    <row r="25" customFormat="false" ht="15" hidden="false" customHeight="false" outlineLevel="0" collapsed="false">
      <c r="B25" s="27" t="s">
        <v>88</v>
      </c>
      <c r="C25" s="28" t="n">
        <v>0.05</v>
      </c>
      <c r="D25" s="28" t="n">
        <v>0.08</v>
      </c>
      <c r="E25" s="28" t="n">
        <v>0.1</v>
      </c>
      <c r="F25" s="28" t="n">
        <v>0.12</v>
      </c>
      <c r="G25" s="28" t="n">
        <v>0.15</v>
      </c>
    </row>
    <row r="26" customFormat="false" ht="15" hidden="false" customHeight="false" outlineLevel="0" collapsed="false">
      <c r="B26" s="29" t="n">
        <v>8</v>
      </c>
      <c r="C26" s="30" t="n">
        <f aca="false">IF(Transaction!C26=0,0,((Transaction!C4*(1+C$25)^Transaction!C45*$B$26-'Debt Schedule'!H15)/Transaction!C26)^(1/Transaction!C45)-1)</f>
        <v>0.133924911868726</v>
      </c>
      <c r="D26" s="30" t="n">
        <f aca="false">IF(Transaction!C26=0,0,((Transaction!C4*(1+D$25)^Transaction!C45*$B$26-'Debt Schedule'!H15)/Transaction!C26)^(1/Transaction!C45)-1)</f>
        <v>0.191088302269999</v>
      </c>
      <c r="E26" s="30" t="n">
        <f aca="false">IF(Transaction!C26=0,0,((Transaction!C4*(1+E$25)^Transaction!C45*$B$26-'Debt Schedule'!H15)/Transaction!C26)^(1/Transaction!C45)-1)</f>
        <v>0.226855641706581</v>
      </c>
      <c r="F26" s="30" t="n">
        <f aca="false">IF(Transaction!C26=0,0,((Transaction!C4*(1+F$25)^Transaction!C45*$B$26-'Debt Schedule'!H15)/Transaction!C26)^(1/Transaction!C45)-1)</f>
        <v>0.261168833317232</v>
      </c>
      <c r="G26" s="30" t="n">
        <f aca="false">IF(Transaction!C26=0,0,((Transaction!C4*(1+G$25)^Transaction!C45*$B$26-'Debt Schedule'!H15)/Transaction!C26)^(1/Transaction!C45)-1)</f>
        <v>0.310458697086786</v>
      </c>
    </row>
    <row r="27" customFormat="false" ht="15" hidden="false" customHeight="false" outlineLevel="0" collapsed="false">
      <c r="B27" s="29" t="n">
        <v>9</v>
      </c>
      <c r="C27" s="30" t="n">
        <f aca="false">IF(Transaction!C26=0,0,((Transaction!C4*(1+C$25)^Transaction!C45*$B$27-'Debt Schedule'!H15)/Transaction!C26)^(1/Transaction!C45)-1)</f>
        <v>0.181933388829468</v>
      </c>
      <c r="D27" s="30" t="n">
        <f aca="false">IF(Transaction!C26=0,0,((Transaction!C4*(1+D$25)^Transaction!C45*$B$27-'Debt Schedule'!H15)/Transaction!C26)^(1/Transaction!C45)-1)</f>
        <v>0.23684511649611</v>
      </c>
      <c r="E27" s="30" t="n">
        <f aca="false">IF(Transaction!C26=0,0,((Transaction!C4*(1+E$25)^Transaction!C45*$B$27-'Debt Schedule'!H15)/Transaction!C26)^(1/Transaction!C45)-1)</f>
        <v>0.271585844110421</v>
      </c>
      <c r="F27" s="30" t="n">
        <f aca="false">IF(Transaction!C26=0,0,((Transaction!C4*(1+F$25)^Transaction!C45*$B$27-'Debt Schedule'!H15)/Transaction!C26)^(1/Transaction!C45)-1)</f>
        <v>0.305142273030044</v>
      </c>
      <c r="G27" s="30" t="n">
        <f aca="false">IF(Transaction!C26=0,0,((Transaction!C4*(1+G$25)^Transaction!C45*$B$27-'Debt Schedule'!H15)/Transaction!C26)^(1/Transaction!C45)-1)</f>
        <v>0.353673274515835</v>
      </c>
    </row>
    <row r="28" customFormat="false" ht="15" hidden="false" customHeight="false" outlineLevel="0" collapsed="false">
      <c r="B28" s="29" t="n">
        <v>10</v>
      </c>
      <c r="C28" s="30" t="n">
        <f aca="false">IF(Transaction!C26=0,0,((Transaction!C4*(1+C$25)^Transaction!C45*$B$28-'Debt Schedule'!H15)/Transaction!C26)^(1/Transaction!C45)-1)</f>
        <v>0.223211359842517</v>
      </c>
      <c r="D28" s="30" t="n">
        <f aca="false">IF(Transaction!C26=0,0,((Transaction!C4*(1+D$25)^Transaction!C45*$B$28-'Debt Schedule'!H15)/Transaction!C26)^(1/Transaction!C45)-1)</f>
        <v>0.276688333210215</v>
      </c>
      <c r="E28" s="30" t="n">
        <f aca="false">IF(Transaction!C26=0,0,((Transaction!C4*(1+E$25)^Transaction!C45*$B$28-'Debt Schedule'!H15)/Transaction!C26)^(1/Transaction!C45)-1)</f>
        <v>0.310785396871249</v>
      </c>
      <c r="F28" s="30" t="n">
        <f aca="false">IF(Transaction!C26=0,0,((Transaction!C4*(1+F$25)^Transaction!C45*$B$28-'Debt Schedule'!H15)/Transaction!C26)^(1/Transaction!C45)-1)</f>
        <v>0.343881711528839</v>
      </c>
      <c r="G28" s="30" t="n">
        <f aca="false">IF(Transaction!C26=0,0,((Transaction!C4*(1+G$25)^Transaction!C45*$B$28-'Debt Schedule'!H15)/Transaction!C26)^(1/Transaction!C45)-1)</f>
        <v>0.391984579281259</v>
      </c>
    </row>
    <row r="29" customFormat="false" ht="15" hidden="false" customHeight="false" outlineLevel="0" collapsed="false">
      <c r="B29" s="29" t="n">
        <v>11</v>
      </c>
      <c r="C29" s="30" t="n">
        <f aca="false">IF(Transaction!C26=0,0,((Transaction!C4*(1+C$25)^Transaction!C45*$B$29-'Debt Schedule'!H15)/Transaction!C26)^(1/Transaction!C45)-1)</f>
        <v>0.259569305691495</v>
      </c>
      <c r="D29" s="30" t="n">
        <f aca="false">IF(Transaction!C26=0,0,((Transaction!C4*(1+D$25)^Transaction!C45*$B$29-'Debt Schedule'!H15)/Transaction!C26)^(1/Transaction!C45)-1)</f>
        <v>0.312101254270923</v>
      </c>
      <c r="E29" s="30" t="n">
        <f aca="false">IF(Transaction!C26=0,0,((Transaction!C4*(1+E$25)^Transaction!C45*$B$29-'Debt Schedule'!H15)/Transaction!C26)^(1/Transaction!C45)-1)</f>
        <v>0.345789341420288</v>
      </c>
      <c r="F29" s="30" t="n">
        <f aca="false">IF(Transaction!C26=0,0,((Transaction!C4*(1+F$25)^Transaction!C45*$B$29-'Debt Schedule'!H15)/Transaction!C26)^(1/Transaction!C45)-1)</f>
        <v>0.378609364906898</v>
      </c>
      <c r="G29" s="30" t="n">
        <f aca="false">IF(Transaction!C26=0,0,((Transaction!C4*(1+G$25)^Transaction!C45*$B$29-'Debt Schedule'!H15)/Transaction!C26)^(1/Transaction!C45)-1)</f>
        <v>0.426490583794723</v>
      </c>
    </row>
    <row r="30" customFormat="false" ht="15" hidden="false" customHeight="false" outlineLevel="0" collapsed="false">
      <c r="B30" s="29" t="n">
        <v>12</v>
      </c>
      <c r="C30" s="30" t="n">
        <f aca="false">IF(Transaction!C26=0,0,((Transaction!C4*(1+C$25)^Transaction!C45*$B$30-'Debt Schedule'!H15)/Transaction!C26)^(1/Transaction!C45)-1)</f>
        <v>0.292157524421695</v>
      </c>
      <c r="D30" s="30" t="n">
        <f aca="false">IF(Transaction!C26=0,0,((Transaction!C4*(1+D$25)^Transaction!C45*$B$30-'Debt Schedule'!H15)/Transaction!C26)^(1/Transaction!C45)-1)</f>
        <v>0.34405846105532</v>
      </c>
      <c r="E30" s="30" t="n">
        <f aca="false">IF(Transaction!C26=0,0,((Transaction!C4*(1+E$25)^Transaction!C45*$B$30-'Debt Schedule'!H15)/Transaction!C26)^(1/Transaction!C45)-1)</f>
        <v>0.377490082606573</v>
      </c>
      <c r="F30" s="30" t="n">
        <f aca="false">IF(Transaction!C26=0,0,((Transaction!C4*(1+F$25)^Transaction!C45*$B$30-'Debt Schedule'!H15)/Transaction!C26)^(1/Transaction!C45)-1)</f>
        <v>0.410153952782214</v>
      </c>
      <c r="G30" s="30" t="n">
        <f aca="false">IF(Transaction!C26=0,0,((Transaction!C4*(1+G$25)^Transaction!C45*$B$30-'Debt Schedule'!H15)/Transaction!C26)^(1/Transaction!C45)-1)</f>
        <v>0.457948705090752</v>
      </c>
    </row>
  </sheetData>
  <mergeCells count="5">
    <mergeCell ref="B1:D1"/>
    <mergeCell ref="B3:D3"/>
    <mergeCell ref="B10:D10"/>
    <mergeCell ref="B17:D17"/>
    <mergeCell ref="B24:D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2026-02-25T20:54:50Z</dcterms:created>
  <dc:creator>openpyxl</dc:creator>
  <dc:description/>
  <dc:language>en-US</dc:language>
  <cp:lastModifiedBy/>
  <dcterms:modified xsi:type="dcterms:W3CDTF">2026-02-25T20:54:50Z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