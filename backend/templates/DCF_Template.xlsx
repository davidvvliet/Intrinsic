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 Model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<sst xmlns="http://schemas.openxmlformats.org/spreadsheetml/2006/main" count="87" uniqueCount="76">
  <si>
    <t xml:space="preserve">DCF MODEL — KEY ASSUMPTIONS</t>
  </si>
  <si>
    <t xml:space="preserve">Company Name</t>
  </si>
  <si>
    <t xml:space="preserve">Enter Company Name</t>
  </si>
  <si>
    <t xml:space="preserve">Valuation Date</t>
  </si>
  <si>
    <t xml:space="preserve">MM/DD/YYYY</t>
  </si>
  <si>
    <t xml:space="preserve">Currency</t>
  </si>
  <si>
    <t xml:space="preserve">USD ($mm)</t>
  </si>
  <si>
    <t xml:space="preserve">PROJECTION PERIOD</t>
  </si>
  <si>
    <t xml:space="preserve">Historical</t>
  </si>
  <si>
    <t xml:space="preserve">Projected</t>
  </si>
  <si>
    <t xml:space="preserve">Year</t>
  </si>
  <si>
    <t xml:space="preserve">REVENUE ASSUMPTIONS</t>
  </si>
  <si>
    <t xml:space="preserve">Revenue ($mm)</t>
  </si>
  <si>
    <t xml:space="preserve">Revenue Growth Rate</t>
  </si>
  <si>
    <t xml:space="preserve">MARGIN ASSUMPTIONS</t>
  </si>
  <si>
    <t xml:space="preserve">COGS (% of Revenue)</t>
  </si>
  <si>
    <t xml:space="preserve">Gross Margin</t>
  </si>
  <si>
    <t xml:space="preserve">SG&amp;A (% of Revenue)</t>
  </si>
  <si>
    <t xml:space="preserve">R&amp;D (% of Revenue)</t>
  </si>
  <si>
    <t xml:space="preserve">D&amp;A (% of Revenue)</t>
  </si>
  <si>
    <t xml:space="preserve">EBIT Margin</t>
  </si>
  <si>
    <t xml:space="preserve">WACC ASSUMPTIONS</t>
  </si>
  <si>
    <t xml:space="preserve">Risk-Free Rate</t>
  </si>
  <si>
    <t xml:space="preserve">Equity Risk Premium</t>
  </si>
  <si>
    <t xml:space="preserve">Beta (Levered)</t>
  </si>
  <si>
    <t xml:space="preserve">Cost of Equity (CAPM)</t>
  </si>
  <si>
    <t xml:space="preserve">Pre-Tax Cost of Debt</t>
  </si>
  <si>
    <t xml:space="preserve">Tax Rate</t>
  </si>
  <si>
    <t xml:space="preserve">After-Tax Cost of Debt</t>
  </si>
  <si>
    <t xml:space="preserve">Debt / Total Capital</t>
  </si>
  <si>
    <t xml:space="preserve">Equity / Total Capital</t>
  </si>
  <si>
    <t xml:space="preserve">WACC</t>
  </si>
  <si>
    <t xml:space="preserve">TERMINAL VALUE ASSUMPTIONS</t>
  </si>
  <si>
    <t xml:space="preserve">Terminal Growth Rate</t>
  </si>
  <si>
    <t xml:space="preserve">Exit Multiple (EV/EBITDA)</t>
  </si>
  <si>
    <t xml:space="preserve">BALANCE SHEET &amp; EQUITY BRIDGE</t>
  </si>
  <si>
    <t xml:space="preserve">Cash &amp; Equivalents ($mm)</t>
  </si>
  <si>
    <t xml:space="preserve">Total Debt ($mm)</t>
  </si>
  <si>
    <t xml:space="preserve">Shares Outstanding (mm)</t>
  </si>
  <si>
    <t xml:space="preserve">CapEx (% of Revenue)</t>
  </si>
  <si>
    <t xml:space="preserve">Change in NWC (% of Rev Change)</t>
  </si>
  <si>
    <t xml:space="preserve">UNLEVERED DCF MODEL</t>
  </si>
  <si>
    <t xml:space="preserve">INCOME STATEMENT BUILDUP</t>
  </si>
  <si>
    <t xml:space="preserve">Revenue</t>
  </si>
  <si>
    <t xml:space="preserve">(-) COGS</t>
  </si>
  <si>
    <t xml:space="preserve">Gross Profit</t>
  </si>
  <si>
    <t xml:space="preserve">(-) SG&amp;A</t>
  </si>
  <si>
    <t xml:space="preserve">(-) R&amp;D</t>
  </si>
  <si>
    <t xml:space="preserve">(-) D&amp;A</t>
  </si>
  <si>
    <t xml:space="preserve">EBIT</t>
  </si>
  <si>
    <t xml:space="preserve">UNLEVERED FREE CASH FLOW</t>
  </si>
  <si>
    <t xml:space="preserve">(-) Taxes on EBIT</t>
  </si>
  <si>
    <t xml:space="preserve">NOPAT</t>
  </si>
  <si>
    <t xml:space="preserve">(+) D&amp;A</t>
  </si>
  <si>
    <t xml:space="preserve">(-) CapEx</t>
  </si>
  <si>
    <t xml:space="preserve">(-) Change in NWC</t>
  </si>
  <si>
    <t xml:space="preserve">Unlevered Free Cash Flow</t>
  </si>
  <si>
    <t xml:space="preserve">TERMINAL VALUE &amp; VALUATION</t>
  </si>
  <si>
    <t xml:space="preserve">Terminal Value (Gordon Growth)</t>
  </si>
  <si>
    <t xml:space="preserve">Terminal Value (Exit Multiple)</t>
  </si>
  <si>
    <t xml:space="preserve">PV of Projected FCFs</t>
  </si>
  <si>
    <t xml:space="preserve">PV of Terminal Value (Gordon Growth)</t>
  </si>
  <si>
    <t xml:space="preserve">PV of Terminal Value (Exit Multiple)</t>
  </si>
  <si>
    <t xml:space="preserve">EQUITY VALUE BRIDGE</t>
  </si>
  <si>
    <t xml:space="preserve">Enterprise Value (Gordon Growth)</t>
  </si>
  <si>
    <t xml:space="preserve">Enterprise Value (Exit Multiple)</t>
  </si>
  <si>
    <t xml:space="preserve">(+) Cash</t>
  </si>
  <si>
    <t xml:space="preserve">(-) Debt</t>
  </si>
  <si>
    <t xml:space="preserve">Equity Value (Gordon Growth)</t>
  </si>
  <si>
    <t xml:space="preserve">Equity Value (Exit Multiple)</t>
  </si>
  <si>
    <t xml:space="preserve">Implied Share Price (Gordon Growth)</t>
  </si>
  <si>
    <t xml:space="preserve">Implied Share Price (Exit Multiple)</t>
  </si>
  <si>
    <t xml:space="preserve">SENSITIVITY ANALYSIS — IMPLIED SHARE PRICE</t>
  </si>
  <si>
    <t xml:space="preserve">Gordon Growth Method</t>
  </si>
  <si>
    <t xml:space="preserve">WACC ↓ / g →</t>
  </si>
  <si>
    <t xml:space="preserve">Note: Sensitivity table approximates share price across WACC and terminal growth rate scenarios.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</si>
</sst>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%"/>
    <numFmt numFmtId="168" formatCode="0.00"/>
    <numFmt numFmtId="169" formatCode="0.0\x"/>
    <numFmt numFmtId="170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>
        <color rgb="FFB4B4B4"/>
      </bottom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9" min="3" style="0" width="16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4" t="s">
        <v>6</v>
      </c>
    </row>
    <row r="7" customFormat="false" ht="15" hidden="false" customHeight="false" outlineLevel="0" collapsed="false">
      <c r="B7" s="5" t="s">
        <v>7</v>
      </c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B8" s="6"/>
      <c r="C8" s="6" t="s">
        <v>8</v>
      </c>
      <c r="D8" s="6" t="s">
        <v>8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</row>
    <row r="9" customFormat="false" ht="15" hidden="false" customHeight="false" outlineLevel="0" collapsed="false">
      <c r="B9" s="2" t="s">
        <v>10</v>
      </c>
      <c r="C9" s="7" t="n">
        <v>2024</v>
      </c>
      <c r="D9" s="7" t="n">
        <v>2025</v>
      </c>
      <c r="E9" s="7" t="n">
        <v>2026</v>
      </c>
      <c r="F9" s="7" t="n">
        <v>2027</v>
      </c>
      <c r="G9" s="7" t="n">
        <v>2028</v>
      </c>
      <c r="H9" s="7" t="n">
        <v>2029</v>
      </c>
      <c r="I9" s="7" t="n">
        <v>2030</v>
      </c>
    </row>
    <row r="11" customFormat="false" ht="15" hidden="false" customHeight="false" outlineLevel="0" collapsed="false">
      <c r="B11" s="8" t="s">
        <v>11</v>
      </c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B12" s="2" t="s">
        <v>12</v>
      </c>
      <c r="C12" s="9" t="n">
        <v>100</v>
      </c>
      <c r="D12" s="9" t="n">
        <v>120</v>
      </c>
      <c r="E12" s="10" t="n">
        <f aca="false">D12*(1+E13)</f>
        <v>138</v>
      </c>
      <c r="F12" s="10" t="n">
        <f aca="false">E12*(1+F13)</f>
        <v>158.7</v>
      </c>
      <c r="G12" s="10" t="n">
        <f aca="false">F12*(1+G13)</f>
        <v>182.505</v>
      </c>
      <c r="H12" s="10" t="n">
        <f aca="false">G12*(1+H13)</f>
        <v>209.88075</v>
      </c>
      <c r="I12" s="10" t="n">
        <f aca="false">H12*(1+I13)</f>
        <v>241.3628625</v>
      </c>
    </row>
    <row r="13" customFormat="false" ht="15" hidden="false" customHeight="false" outlineLevel="0" collapsed="false">
      <c r="B13" s="2" t="s">
        <v>13</v>
      </c>
      <c r="C13" s="11"/>
      <c r="D13" s="12" t="n">
        <v>0.2</v>
      </c>
      <c r="E13" s="12" t="n">
        <v>0.15</v>
      </c>
      <c r="F13" s="12" t="n">
        <v>0.15</v>
      </c>
      <c r="G13" s="12" t="n">
        <v>0.15</v>
      </c>
      <c r="H13" s="12" t="n">
        <v>0.15</v>
      </c>
      <c r="I13" s="12" t="n">
        <v>0.15</v>
      </c>
    </row>
    <row r="15" customFormat="false" ht="15" hidden="false" customHeight="false" outlineLevel="0" collapsed="false">
      <c r="B15" s="8" t="s">
        <v>14</v>
      </c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B16" s="2" t="s">
        <v>15</v>
      </c>
      <c r="C16" s="12" t="n">
        <v>0.4</v>
      </c>
      <c r="D16" s="12" t="n">
        <v>0.4</v>
      </c>
      <c r="E16" s="12" t="n">
        <v>0.4</v>
      </c>
      <c r="F16" s="12" t="n">
        <v>0.4</v>
      </c>
      <c r="G16" s="12" t="n">
        <v>0.4</v>
      </c>
      <c r="H16" s="12" t="n">
        <v>0.4</v>
      </c>
      <c r="I16" s="12" t="n">
        <v>0.4</v>
      </c>
    </row>
    <row r="17" customFormat="false" ht="15" hidden="false" customHeight="false" outlineLevel="0" collapsed="false">
      <c r="B17" s="2" t="s">
        <v>16</v>
      </c>
      <c r="C17" s="13" t="n">
        <f aca="false">1-C16</f>
        <v>0.6</v>
      </c>
      <c r="D17" s="13" t="n">
        <f aca="false">1-D16</f>
        <v>0.6</v>
      </c>
      <c r="E17" s="13" t="n">
        <f aca="false">1-E16</f>
        <v>0.6</v>
      </c>
      <c r="F17" s="13" t="n">
        <f aca="false">1-F16</f>
        <v>0.6</v>
      </c>
      <c r="G17" s="13" t="n">
        <f aca="false">1-G16</f>
        <v>0.6</v>
      </c>
      <c r="H17" s="13" t="n">
        <f aca="false">1-H16</f>
        <v>0.6</v>
      </c>
      <c r="I17" s="13" t="n">
        <f aca="false">1-I16</f>
        <v>0.6</v>
      </c>
    </row>
    <row r="18" customFormat="false" ht="15" hidden="false" customHeight="false" outlineLevel="0" collapsed="false">
      <c r="B18" s="2" t="s">
        <v>17</v>
      </c>
      <c r="C18" s="12" t="n">
        <v>0.2</v>
      </c>
      <c r="D18" s="12" t="n">
        <v>0.2</v>
      </c>
      <c r="E18" s="12" t="n">
        <v>0.2</v>
      </c>
      <c r="F18" s="12" t="n">
        <v>0.2</v>
      </c>
      <c r="G18" s="12" t="n">
        <v>0.2</v>
      </c>
      <c r="H18" s="12" t="n">
        <v>0.2</v>
      </c>
      <c r="I18" s="12" t="n">
        <v>0.2</v>
      </c>
    </row>
    <row r="19" customFormat="false" ht="15" hidden="false" customHeight="false" outlineLevel="0" collapsed="false">
      <c r="B19" s="2" t="s">
        <v>18</v>
      </c>
      <c r="C19" s="12" t="n">
        <v>0.1</v>
      </c>
      <c r="D19" s="12" t="n">
        <v>0.1</v>
      </c>
      <c r="E19" s="12" t="n">
        <v>0.1</v>
      </c>
      <c r="F19" s="12" t="n">
        <v>0.1</v>
      </c>
      <c r="G19" s="12" t="n">
        <v>0.1</v>
      </c>
      <c r="H19" s="12" t="n">
        <v>0.1</v>
      </c>
      <c r="I19" s="12" t="n">
        <v>0.1</v>
      </c>
    </row>
    <row r="20" customFormat="false" ht="15" hidden="false" customHeight="false" outlineLevel="0" collapsed="false">
      <c r="B20" s="2" t="s">
        <v>19</v>
      </c>
      <c r="C20" s="12" t="n">
        <v>0.05</v>
      </c>
      <c r="D20" s="12" t="n">
        <v>0.05</v>
      </c>
      <c r="E20" s="12" t="n">
        <v>0.05</v>
      </c>
      <c r="F20" s="12" t="n">
        <v>0.05</v>
      </c>
      <c r="G20" s="12" t="n">
        <v>0.05</v>
      </c>
      <c r="H20" s="12" t="n">
        <v>0.05</v>
      </c>
      <c r="I20" s="12" t="n">
        <v>0.05</v>
      </c>
    </row>
    <row r="21" customFormat="false" ht="15" hidden="false" customHeight="false" outlineLevel="0" collapsed="false">
      <c r="B21" s="2" t="s">
        <v>20</v>
      </c>
      <c r="C21" s="13" t="n">
        <f aca="false">C17-C18-C19-C20</f>
        <v>0.25</v>
      </c>
      <c r="D21" s="13" t="n">
        <f aca="false">D17-D18-D19-D20</f>
        <v>0.25</v>
      </c>
      <c r="E21" s="13" t="n">
        <f aca="false">E17-E18-E19-E20</f>
        <v>0.25</v>
      </c>
      <c r="F21" s="13" t="n">
        <f aca="false">F17-F18-F19-F20</f>
        <v>0.25</v>
      </c>
      <c r="G21" s="13" t="n">
        <f aca="false">G17-G18-G19-G20</f>
        <v>0.25</v>
      </c>
      <c r="H21" s="13" t="n">
        <f aca="false">H17-H18-H19-H20</f>
        <v>0.25</v>
      </c>
      <c r="I21" s="13" t="n">
        <f aca="false">I17-I18-I19-I20</f>
        <v>0.25</v>
      </c>
    </row>
    <row r="23" customFormat="false" ht="15" hidden="false" customHeight="false" outlineLevel="0" collapsed="false">
      <c r="B23" s="8" t="s">
        <v>21</v>
      </c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B24" s="2" t="s">
        <v>22</v>
      </c>
      <c r="C24" s="12" t="n">
        <v>0.04</v>
      </c>
    </row>
    <row r="25" customFormat="false" ht="15" hidden="false" customHeight="false" outlineLevel="0" collapsed="false">
      <c r="B25" s="2" t="s">
        <v>23</v>
      </c>
      <c r="C25" s="12" t="n">
        <v>0.06</v>
      </c>
    </row>
    <row r="26" customFormat="false" ht="15" hidden="false" customHeight="false" outlineLevel="0" collapsed="false">
      <c r="B26" s="2" t="s">
        <v>24</v>
      </c>
      <c r="C26" s="14" t="n">
        <v>1.2</v>
      </c>
    </row>
    <row r="27" customFormat="false" ht="15" hidden="false" customHeight="false" outlineLevel="0" collapsed="false">
      <c r="B27" s="2" t="s">
        <v>25</v>
      </c>
      <c r="C27" s="13" t="n">
        <f aca="false">C24+C26*C25</f>
        <v>0.112</v>
      </c>
    </row>
    <row r="28" customFormat="false" ht="15" hidden="false" customHeight="false" outlineLevel="0" collapsed="false">
      <c r="B28" s="2" t="s">
        <v>26</v>
      </c>
      <c r="C28" s="12" t="n">
        <v>0.05</v>
      </c>
    </row>
    <row r="29" customFormat="false" ht="15" hidden="false" customHeight="false" outlineLevel="0" collapsed="false">
      <c r="B29" s="2" t="s">
        <v>27</v>
      </c>
      <c r="C29" s="12" t="n">
        <v>0.25</v>
      </c>
    </row>
    <row r="30" customFormat="false" ht="15" hidden="false" customHeight="false" outlineLevel="0" collapsed="false">
      <c r="B30" s="2" t="s">
        <v>28</v>
      </c>
      <c r="C30" s="13" t="n">
        <f aca="false">C28*(1-C29)</f>
        <v>0.0375</v>
      </c>
    </row>
    <row r="31" customFormat="false" ht="15" hidden="false" customHeight="false" outlineLevel="0" collapsed="false">
      <c r="B31" s="2" t="s">
        <v>29</v>
      </c>
      <c r="C31" s="12" t="n">
        <v>0.3</v>
      </c>
    </row>
    <row r="32" customFormat="false" ht="15" hidden="false" customHeight="false" outlineLevel="0" collapsed="false">
      <c r="B32" s="2" t="s">
        <v>30</v>
      </c>
      <c r="C32" s="13" t="n">
        <f aca="false">1-C31</f>
        <v>0.7</v>
      </c>
    </row>
    <row r="33" customFormat="false" ht="15" hidden="false" customHeight="false" outlineLevel="0" collapsed="false">
      <c r="B33" s="2" t="s">
        <v>31</v>
      </c>
      <c r="C33" s="15" t="n">
        <f aca="false">C27*C32+C30*C31</f>
        <v>0.08965</v>
      </c>
    </row>
    <row r="35" customFormat="false" ht="15" hidden="false" customHeight="false" outlineLevel="0" collapsed="false">
      <c r="B35" s="8" t="s">
        <v>32</v>
      </c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B36" s="2" t="s">
        <v>33</v>
      </c>
      <c r="C36" s="12" t="n">
        <v>0.025</v>
      </c>
    </row>
    <row r="37" customFormat="false" ht="15" hidden="false" customHeight="false" outlineLevel="0" collapsed="false">
      <c r="B37" s="2" t="s">
        <v>34</v>
      </c>
      <c r="C37" s="16" t="n">
        <v>12</v>
      </c>
    </row>
    <row r="39" customFormat="false" ht="15" hidden="false" customHeight="false" outlineLevel="0" collapsed="false">
      <c r="B39" s="8" t="s">
        <v>35</v>
      </c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B40" s="2" t="s">
        <v>36</v>
      </c>
      <c r="C40" s="9" t="n">
        <v>50</v>
      </c>
    </row>
    <row r="41" customFormat="false" ht="15" hidden="false" customHeight="false" outlineLevel="0" collapsed="false">
      <c r="B41" s="2" t="s">
        <v>37</v>
      </c>
      <c r="C41" s="9" t="n">
        <v>200</v>
      </c>
    </row>
    <row r="42" customFormat="false" ht="15" hidden="false" customHeight="false" outlineLevel="0" collapsed="false">
      <c r="B42" s="2" t="s">
        <v>38</v>
      </c>
      <c r="C42" s="9" t="n">
        <v>100</v>
      </c>
    </row>
    <row r="43" customFormat="false" ht="15" hidden="false" customHeight="false" outlineLevel="0" collapsed="false">
      <c r="B43" s="2" t="s">
        <v>39</v>
      </c>
      <c r="C43" s="12" t="n">
        <v>0.08</v>
      </c>
    </row>
    <row r="44" customFormat="false" ht="15" hidden="false" customHeight="false" outlineLevel="0" collapsed="false">
      <c r="B44" s="2" t="s">
        <v>40</v>
      </c>
      <c r="C44" s="12" t="n">
        <v>0.1</v>
      </c>
    </row>
  </sheetData>
  <mergeCells count="7">
    <mergeCell ref="B1:I1"/>
    <mergeCell ref="B7:I7"/>
    <mergeCell ref="B11:I11"/>
    <mergeCell ref="B15:I15"/>
    <mergeCell ref="B23:I23"/>
    <mergeCell ref="B35:I35"/>
    <mergeCell ref="B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9" min="3" style="0" width="16"/>
  </cols>
  <sheetData>
    <row r="1" customFormat="false" ht="31.5" hidden="false" customHeight="true" outlineLevel="0" collapsed="false">
      <c r="B1" s="1" t="s">
        <v>41</v>
      </c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B3" s="17" t="s">
        <v>10</v>
      </c>
      <c r="C3" s="18" t="n">
        <f aca="false">Assumptions!C9</f>
        <v>2024</v>
      </c>
      <c r="D3" s="18" t="n">
        <f aca="false">Assumptions!D9</f>
        <v>2025</v>
      </c>
      <c r="E3" s="18" t="n">
        <f aca="false">Assumptions!E9</f>
        <v>2026</v>
      </c>
      <c r="F3" s="18" t="n">
        <f aca="false">Assumptions!F9</f>
        <v>2027</v>
      </c>
      <c r="G3" s="18" t="n">
        <f aca="false">Assumptions!G9</f>
        <v>2028</v>
      </c>
      <c r="H3" s="18" t="n">
        <f aca="false">Assumptions!H9</f>
        <v>2029</v>
      </c>
      <c r="I3" s="18" t="n">
        <f aca="false">Assumptions!I9</f>
        <v>2030</v>
      </c>
    </row>
    <row r="5" customFormat="false" ht="15" hidden="false" customHeight="false" outlineLevel="0" collapsed="false">
      <c r="B5" s="8" t="s">
        <v>42</v>
      </c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B6" s="2" t="s">
        <v>43</v>
      </c>
      <c r="C6" s="19" t="n">
        <f aca="false">Assumptions!C12</f>
        <v>100</v>
      </c>
      <c r="D6" s="19" t="n">
        <f aca="false">Assumptions!D12</f>
        <v>120</v>
      </c>
      <c r="E6" s="19" t="n">
        <f aca="false">Assumptions!E12</f>
        <v>138</v>
      </c>
      <c r="F6" s="19" t="n">
        <f aca="false">Assumptions!F12</f>
        <v>158.7</v>
      </c>
      <c r="G6" s="19" t="n">
        <f aca="false">Assumptions!G12</f>
        <v>182.505</v>
      </c>
      <c r="H6" s="19" t="n">
        <f aca="false">Assumptions!H12</f>
        <v>209.88075</v>
      </c>
      <c r="I6" s="19" t="n">
        <f aca="false">Assumptions!I12</f>
        <v>241.3628625</v>
      </c>
    </row>
    <row r="7" customFormat="false" ht="15" hidden="false" customHeight="false" outlineLevel="0" collapsed="false">
      <c r="B7" s="20" t="s">
        <v>44</v>
      </c>
      <c r="C7" s="10" t="n">
        <f aca="false">-Assumptions!C16*C6</f>
        <v>-40</v>
      </c>
      <c r="D7" s="10" t="n">
        <f aca="false">-Assumptions!D16*D6</f>
        <v>-48</v>
      </c>
      <c r="E7" s="10" t="n">
        <f aca="false">-Assumptions!E16*E6</f>
        <v>-55.2</v>
      </c>
      <c r="F7" s="10" t="n">
        <f aca="false">-Assumptions!F16*F6</f>
        <v>-63.48</v>
      </c>
      <c r="G7" s="10" t="n">
        <f aca="false">-Assumptions!G16*G6</f>
        <v>-73.002</v>
      </c>
      <c r="H7" s="10" t="n">
        <f aca="false">-Assumptions!H16*H6</f>
        <v>-83.9523</v>
      </c>
      <c r="I7" s="10" t="n">
        <f aca="false">-Assumptions!I16*I6</f>
        <v>-96.545145</v>
      </c>
    </row>
    <row r="8" customFormat="false" ht="15" hidden="false" customHeight="false" outlineLevel="0" collapsed="false">
      <c r="B8" s="2" t="s">
        <v>45</v>
      </c>
      <c r="C8" s="21" t="n">
        <f aca="false">C6+C7</f>
        <v>60</v>
      </c>
      <c r="D8" s="21" t="n">
        <f aca="false">D6+D7</f>
        <v>72</v>
      </c>
      <c r="E8" s="21" t="n">
        <f aca="false">E6+E7</f>
        <v>82.8</v>
      </c>
      <c r="F8" s="21" t="n">
        <f aca="false">F6+F7</f>
        <v>95.22</v>
      </c>
      <c r="G8" s="21" t="n">
        <f aca="false">G6+G7</f>
        <v>109.503</v>
      </c>
      <c r="H8" s="21" t="n">
        <f aca="false">H6+H7</f>
        <v>125.92845</v>
      </c>
      <c r="I8" s="21" t="n">
        <f aca="false">I6+I7</f>
        <v>144.8177175</v>
      </c>
    </row>
    <row r="9" customFormat="false" ht="15" hidden="false" customHeight="false" outlineLevel="0" collapsed="false">
      <c r="B9" s="20" t="s">
        <v>46</v>
      </c>
      <c r="C9" s="10" t="n">
        <f aca="false">-Assumptions!C18*C6</f>
        <v>-20</v>
      </c>
      <c r="D9" s="10" t="n">
        <f aca="false">-Assumptions!D18*D6</f>
        <v>-24</v>
      </c>
      <c r="E9" s="10" t="n">
        <f aca="false">-Assumptions!E18*E6</f>
        <v>-27.6</v>
      </c>
      <c r="F9" s="10" t="n">
        <f aca="false">-Assumptions!F18*F6</f>
        <v>-31.74</v>
      </c>
      <c r="G9" s="10" t="n">
        <f aca="false">-Assumptions!G18*G6</f>
        <v>-36.501</v>
      </c>
      <c r="H9" s="10" t="n">
        <f aca="false">-Assumptions!H18*H6</f>
        <v>-41.97615</v>
      </c>
      <c r="I9" s="10" t="n">
        <f aca="false">-Assumptions!I18*I6</f>
        <v>-48.2725725</v>
      </c>
    </row>
    <row r="10" customFormat="false" ht="15" hidden="false" customHeight="false" outlineLevel="0" collapsed="false">
      <c r="B10" s="20" t="s">
        <v>47</v>
      </c>
      <c r="C10" s="10" t="n">
        <f aca="false">-Assumptions!C19*C6</f>
        <v>-10</v>
      </c>
      <c r="D10" s="10" t="n">
        <f aca="false">-Assumptions!D19*D6</f>
        <v>-12</v>
      </c>
      <c r="E10" s="10" t="n">
        <f aca="false">-Assumptions!E19*E6</f>
        <v>-13.8</v>
      </c>
      <c r="F10" s="10" t="n">
        <f aca="false">-Assumptions!F19*F6</f>
        <v>-15.87</v>
      </c>
      <c r="G10" s="10" t="n">
        <f aca="false">-Assumptions!G19*G6</f>
        <v>-18.2505</v>
      </c>
      <c r="H10" s="10" t="n">
        <f aca="false">-Assumptions!H19*H6</f>
        <v>-20.988075</v>
      </c>
      <c r="I10" s="10" t="n">
        <f aca="false">-Assumptions!I19*I6</f>
        <v>-24.13628625</v>
      </c>
    </row>
    <row r="11" customFormat="false" ht="15" hidden="false" customHeight="false" outlineLevel="0" collapsed="false">
      <c r="B11" s="20" t="s">
        <v>48</v>
      </c>
      <c r="C11" s="10" t="n">
        <f aca="false">-Assumptions!C20*C6</f>
        <v>-5</v>
      </c>
      <c r="D11" s="10" t="n">
        <f aca="false">-Assumptions!D20*D6</f>
        <v>-6</v>
      </c>
      <c r="E11" s="10" t="n">
        <f aca="false">-Assumptions!E20*E6</f>
        <v>-6.9</v>
      </c>
      <c r="F11" s="10" t="n">
        <f aca="false">-Assumptions!F20*F6</f>
        <v>-7.935</v>
      </c>
      <c r="G11" s="10" t="n">
        <f aca="false">-Assumptions!G20*G6</f>
        <v>-9.12525</v>
      </c>
      <c r="H11" s="10" t="n">
        <f aca="false">-Assumptions!H20*H6</f>
        <v>-10.4940375</v>
      </c>
      <c r="I11" s="10" t="n">
        <f aca="false">-Assumptions!I20*I6</f>
        <v>-12.068143125</v>
      </c>
    </row>
    <row r="12" customFormat="false" ht="15" hidden="false" customHeight="false" outlineLevel="0" collapsed="false">
      <c r="B12" s="2" t="s">
        <v>49</v>
      </c>
      <c r="C12" s="22" t="n">
        <f aca="false">C8+C9+C10+C11</f>
        <v>25</v>
      </c>
      <c r="D12" s="22" t="n">
        <f aca="false">D8+D9+D10+D11</f>
        <v>30</v>
      </c>
      <c r="E12" s="22" t="n">
        <f aca="false">E8+E9+E10+E11</f>
        <v>34.5</v>
      </c>
      <c r="F12" s="22" t="n">
        <f aca="false">F8+F9+F10+F11</f>
        <v>39.675</v>
      </c>
      <c r="G12" s="22" t="n">
        <f aca="false">G8+G9+G10+G11</f>
        <v>45.62625</v>
      </c>
      <c r="H12" s="22" t="n">
        <f aca="false">H8+H9+H10+H11</f>
        <v>52.4701875</v>
      </c>
      <c r="I12" s="22" t="n">
        <f aca="false">I8+I9+I10+I11</f>
        <v>60.340715625</v>
      </c>
    </row>
    <row r="13" customFormat="false" ht="15" hidden="false" customHeight="false" outlineLevel="0" collapsed="false">
      <c r="B13" s="6" t="s">
        <v>20</v>
      </c>
      <c r="C13" s="23" t="n">
        <f aca="false">IF(C6=0,0,C12/C6)</f>
        <v>0.25</v>
      </c>
      <c r="D13" s="23" t="n">
        <f aca="false">IF(D6=0,0,D12/D6)</f>
        <v>0.25</v>
      </c>
      <c r="E13" s="23" t="n">
        <f aca="false">IF(E6=0,0,E12/E6)</f>
        <v>0.25</v>
      </c>
      <c r="F13" s="23" t="n">
        <f aca="false">IF(F6=0,0,F12/F6)</f>
        <v>0.25</v>
      </c>
      <c r="G13" s="23" t="n">
        <f aca="false">IF(G6=0,0,G12/G6)</f>
        <v>0.25</v>
      </c>
      <c r="H13" s="23" t="n">
        <f aca="false">IF(H6=0,0,H12/H6)</f>
        <v>0.25</v>
      </c>
      <c r="I13" s="23" t="n">
        <f aca="false">IF(I6=0,0,I12/I6)</f>
        <v>0.25</v>
      </c>
    </row>
    <row r="15" customFormat="false" ht="15" hidden="false" customHeight="false" outlineLevel="0" collapsed="false">
      <c r="B15" s="8" t="s">
        <v>50</v>
      </c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B16" s="2" t="s">
        <v>49</v>
      </c>
      <c r="C16" s="10" t="n">
        <f aca="false">C12</f>
        <v>25</v>
      </c>
      <c r="D16" s="10" t="n">
        <f aca="false">D12</f>
        <v>30</v>
      </c>
      <c r="E16" s="10" t="n">
        <f aca="false">E12</f>
        <v>34.5</v>
      </c>
      <c r="F16" s="10" t="n">
        <f aca="false">F12</f>
        <v>39.675</v>
      </c>
      <c r="G16" s="10" t="n">
        <f aca="false">G12</f>
        <v>45.62625</v>
      </c>
      <c r="H16" s="10" t="n">
        <f aca="false">H12</f>
        <v>52.4701875</v>
      </c>
      <c r="I16" s="10" t="n">
        <f aca="false">I12</f>
        <v>60.340715625</v>
      </c>
    </row>
    <row r="17" customFormat="false" ht="15" hidden="false" customHeight="false" outlineLevel="0" collapsed="false">
      <c r="B17" s="20" t="s">
        <v>51</v>
      </c>
      <c r="C17" s="10" t="n">
        <f aca="false">-C16*Assumptions!$C$29</f>
        <v>-6.25</v>
      </c>
      <c r="D17" s="10" t="n">
        <f aca="false">-D16*Assumptions!$C$29</f>
        <v>-7.5</v>
      </c>
      <c r="E17" s="10" t="n">
        <f aca="false">-E16*Assumptions!$C$29</f>
        <v>-8.625</v>
      </c>
      <c r="F17" s="10" t="n">
        <f aca="false">-F16*Assumptions!$C$29</f>
        <v>-9.91875</v>
      </c>
      <c r="G17" s="10" t="n">
        <f aca="false">-G16*Assumptions!$C$29</f>
        <v>-11.4065625</v>
      </c>
      <c r="H17" s="10" t="n">
        <f aca="false">-H16*Assumptions!$C$29</f>
        <v>-13.117546875</v>
      </c>
      <c r="I17" s="10" t="n">
        <f aca="false">-I16*Assumptions!$C$29</f>
        <v>-15.08517890625</v>
      </c>
    </row>
    <row r="18" customFormat="false" ht="15" hidden="false" customHeight="false" outlineLevel="0" collapsed="false">
      <c r="B18" s="2" t="s">
        <v>52</v>
      </c>
      <c r="C18" s="10" t="n">
        <f aca="false">C16+C17</f>
        <v>18.75</v>
      </c>
      <c r="D18" s="10" t="n">
        <f aca="false">D16+D17</f>
        <v>22.5</v>
      </c>
      <c r="E18" s="10" t="n">
        <f aca="false">E16+E17</f>
        <v>25.875</v>
      </c>
      <c r="F18" s="10" t="n">
        <f aca="false">F16+F17</f>
        <v>29.75625</v>
      </c>
      <c r="G18" s="10" t="n">
        <f aca="false">G16+G17</f>
        <v>34.2196875</v>
      </c>
      <c r="H18" s="10" t="n">
        <f aca="false">H16+H17</f>
        <v>39.352640625</v>
      </c>
      <c r="I18" s="10" t="n">
        <f aca="false">I16+I17</f>
        <v>45.25553671875</v>
      </c>
    </row>
    <row r="19" customFormat="false" ht="15" hidden="false" customHeight="false" outlineLevel="0" collapsed="false">
      <c r="B19" s="20" t="s">
        <v>53</v>
      </c>
      <c r="C19" s="10" t="n">
        <f aca="false">-C11</f>
        <v>5</v>
      </c>
      <c r="D19" s="10" t="n">
        <f aca="false">-D11</f>
        <v>6</v>
      </c>
      <c r="E19" s="10" t="n">
        <f aca="false">-E11</f>
        <v>6.9</v>
      </c>
      <c r="F19" s="10" t="n">
        <f aca="false">-F11</f>
        <v>7.935</v>
      </c>
      <c r="G19" s="10" t="n">
        <f aca="false">-G11</f>
        <v>9.12525</v>
      </c>
      <c r="H19" s="10" t="n">
        <f aca="false">-H11</f>
        <v>10.4940375</v>
      </c>
      <c r="I19" s="10" t="n">
        <f aca="false">-I11</f>
        <v>12.068143125</v>
      </c>
    </row>
    <row r="20" customFormat="false" ht="15" hidden="false" customHeight="false" outlineLevel="0" collapsed="false">
      <c r="B20" s="20" t="s">
        <v>54</v>
      </c>
      <c r="C20" s="10" t="n">
        <f aca="false">-Assumptions!$C$43*C6</f>
        <v>-8</v>
      </c>
      <c r="D20" s="10" t="n">
        <f aca="false">-Assumptions!$C$43*D6</f>
        <v>-9.6</v>
      </c>
      <c r="E20" s="10" t="n">
        <f aca="false">-Assumptions!$C$43*E6</f>
        <v>-11.04</v>
      </c>
      <c r="F20" s="10" t="n">
        <f aca="false">-Assumptions!$C$43*F6</f>
        <v>-12.696</v>
      </c>
      <c r="G20" s="10" t="n">
        <f aca="false">-Assumptions!$C$43*G6</f>
        <v>-14.6004</v>
      </c>
      <c r="H20" s="10" t="n">
        <f aca="false">-Assumptions!$C$43*H6</f>
        <v>-16.79046</v>
      </c>
      <c r="I20" s="10" t="n">
        <f aca="false">-Assumptions!$C$43*I6</f>
        <v>-19.309029</v>
      </c>
    </row>
    <row r="21" customFormat="false" ht="15" hidden="false" customHeight="false" outlineLevel="0" collapsed="false">
      <c r="B21" s="20" t="s">
        <v>55</v>
      </c>
      <c r="C21" s="10" t="n">
        <v>0</v>
      </c>
      <c r="D21" s="10" t="n">
        <f aca="false">-Assumptions!$C$44*(D6-C6)</f>
        <v>-2</v>
      </c>
      <c r="E21" s="10" t="n">
        <f aca="false">-Assumptions!$C$44*(E6-D6)</f>
        <v>-1.8</v>
      </c>
      <c r="F21" s="10" t="n">
        <f aca="false">-Assumptions!$C$44*(F6-E6)</f>
        <v>-2.07</v>
      </c>
      <c r="G21" s="10" t="n">
        <f aca="false">-Assumptions!$C$44*(G6-F6)</f>
        <v>-2.3805</v>
      </c>
      <c r="H21" s="10" t="n">
        <f aca="false">-Assumptions!$C$44*(H6-G6)</f>
        <v>-2.737575</v>
      </c>
      <c r="I21" s="10" t="n">
        <f aca="false">-Assumptions!$C$44*(I6-H6)</f>
        <v>-3.14821125</v>
      </c>
    </row>
    <row r="22" customFormat="false" ht="15" hidden="false" customHeight="false" outlineLevel="0" collapsed="false">
      <c r="B22" s="2" t="s">
        <v>56</v>
      </c>
      <c r="C22" s="24" t="n">
        <f aca="false">C18+C19+C20+C21</f>
        <v>15.75</v>
      </c>
      <c r="D22" s="24" t="n">
        <f aca="false">D18+D19+D20+D21</f>
        <v>16.9</v>
      </c>
      <c r="E22" s="24" t="n">
        <f aca="false">E18+E19+E20+E21</f>
        <v>19.935</v>
      </c>
      <c r="F22" s="24" t="n">
        <f aca="false">F18+F19+F20+F21</f>
        <v>22.92525</v>
      </c>
      <c r="G22" s="24" t="n">
        <f aca="false">G18+G19+G20+G21</f>
        <v>26.3640375</v>
      </c>
      <c r="H22" s="24" t="n">
        <f aca="false">H18+H19+H20+H21</f>
        <v>30.318643125</v>
      </c>
      <c r="I22" s="24" t="n">
        <f aca="false">I18+I19+I20+I21</f>
        <v>34.86643959375</v>
      </c>
    </row>
    <row r="24" customFormat="false" ht="15" hidden="false" customHeight="false" outlineLevel="0" collapsed="false">
      <c r="B24" s="8" t="s">
        <v>57</v>
      </c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B25" s="2" t="s">
        <v>31</v>
      </c>
      <c r="C25" s="25" t="n">
        <f aca="false">Assumptions!C33</f>
        <v>0.08965</v>
      </c>
    </row>
    <row r="26" customFormat="false" ht="15" hidden="false" customHeight="false" outlineLevel="0" collapsed="false">
      <c r="B26" s="2" t="s">
        <v>33</v>
      </c>
      <c r="C26" s="25" t="n">
        <f aca="false">Assumptions!C36</f>
        <v>0.025</v>
      </c>
    </row>
    <row r="28" customFormat="false" ht="15" hidden="false" customHeight="false" outlineLevel="0" collapsed="false">
      <c r="B28" s="2" t="s">
        <v>58</v>
      </c>
      <c r="C28" s="10" t="n">
        <f aca="false">I22*(1+C26)/(C25-C26)</f>
        <v>552.79351250725</v>
      </c>
    </row>
    <row r="29" customFormat="false" ht="15" hidden="false" customHeight="false" outlineLevel="0" collapsed="false">
      <c r="B29" s="2" t="s">
        <v>59</v>
      </c>
      <c r="C29" s="10" t="n">
        <f aca="false">(I12-I11)*Assumptions!C37</f>
        <v>868.906305</v>
      </c>
    </row>
    <row r="31" customFormat="false" ht="15" hidden="false" customHeight="false" outlineLevel="0" collapsed="false">
      <c r="B31" s="2" t="s">
        <v>60</v>
      </c>
      <c r="C31" s="10" t="n">
        <f aca="false">E22/(1+$C$25)^1+F22/(1+$C$25)^2+G22/(1+$C$25)^3+H22/(1+$C$25)^4+I22/(1+$C$25)^5</f>
        <v>102.183795801365</v>
      </c>
    </row>
    <row r="32" customFormat="false" ht="15" hidden="false" customHeight="false" outlineLevel="0" collapsed="false">
      <c r="B32" s="2" t="s">
        <v>61</v>
      </c>
      <c r="C32" s="10" t="n">
        <f aca="false">C28/(1+C25)^5</f>
        <v>359.855232234139</v>
      </c>
    </row>
    <row r="33" customFormat="false" ht="15" hidden="false" customHeight="false" outlineLevel="0" collapsed="false">
      <c r="B33" s="2" t="s">
        <v>62</v>
      </c>
      <c r="C33" s="10" t="n">
        <f aca="false">C29/(1+C25)^5</f>
        <v>565.637029199726</v>
      </c>
    </row>
    <row r="35" customFormat="false" ht="15" hidden="false" customHeight="false" outlineLevel="0" collapsed="false">
      <c r="B35" s="8" t="s">
        <v>63</v>
      </c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B36" s="2" t="s">
        <v>64</v>
      </c>
      <c r="C36" s="10" t="n">
        <f aca="false">C31+C32</f>
        <v>462.039028035504</v>
      </c>
    </row>
    <row r="37" customFormat="false" ht="15" hidden="false" customHeight="false" outlineLevel="0" collapsed="false">
      <c r="B37" s="2" t="s">
        <v>65</v>
      </c>
      <c r="C37" s="10" t="n">
        <f aca="false">C31+C33</f>
        <v>667.820825001091</v>
      </c>
    </row>
    <row r="39" customFormat="false" ht="15" hidden="false" customHeight="false" outlineLevel="0" collapsed="false">
      <c r="B39" s="20" t="s">
        <v>66</v>
      </c>
      <c r="C39" s="19" t="n">
        <f aca="false">Assumptions!C40</f>
        <v>50</v>
      </c>
    </row>
    <row r="40" customFormat="false" ht="15" hidden="false" customHeight="false" outlineLevel="0" collapsed="false">
      <c r="B40" s="20" t="s">
        <v>67</v>
      </c>
      <c r="C40" s="19" t="n">
        <f aca="false">-Assumptions!C41</f>
        <v>-200</v>
      </c>
    </row>
    <row r="42" customFormat="false" ht="15" hidden="false" customHeight="false" outlineLevel="0" collapsed="false">
      <c r="B42" s="2" t="s">
        <v>68</v>
      </c>
      <c r="C42" s="22" t="n">
        <f aca="false">C36+C39+C40</f>
        <v>312.039028035504</v>
      </c>
    </row>
    <row r="43" customFormat="false" ht="15" hidden="false" customHeight="false" outlineLevel="0" collapsed="false">
      <c r="B43" s="2" t="s">
        <v>69</v>
      </c>
      <c r="C43" s="22" t="n">
        <f aca="false">C37+C39+C40</f>
        <v>517.820825001091</v>
      </c>
    </row>
    <row r="45" customFormat="false" ht="15" hidden="false" customHeight="false" outlineLevel="0" collapsed="false">
      <c r="B45" s="20" t="s">
        <v>38</v>
      </c>
      <c r="C45" s="19" t="n">
        <f aca="false">Assumptions!C42</f>
        <v>100</v>
      </c>
    </row>
    <row r="47" customFormat="false" ht="15" hidden="false" customHeight="false" outlineLevel="0" collapsed="false">
      <c r="B47" s="2" t="s">
        <v>70</v>
      </c>
      <c r="C47" s="26" t="n">
        <f aca="false">IF(C45=0,0,C42/C45)</f>
        <v>3.12039028035504</v>
      </c>
    </row>
    <row r="48" customFormat="false" ht="15" hidden="false" customHeight="false" outlineLevel="0" collapsed="false">
      <c r="B48" s="2" t="s">
        <v>71</v>
      </c>
      <c r="C48" s="26" t="n">
        <f aca="false">IF(C45=0,0,C43/C45)</f>
        <v>5.17820825001091</v>
      </c>
    </row>
  </sheetData>
  <mergeCells count="5">
    <mergeCell ref="B1:I1"/>
    <mergeCell ref="B5:I5"/>
    <mergeCell ref="B15:I15"/>
    <mergeCell ref="B24:I24"/>
    <mergeCell ref="B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9" min="3" style="0" width="14"/>
  </cols>
  <sheetData>
    <row r="1" customFormat="false" ht="31.5" hidden="false" customHeight="true" outlineLevel="0" collapsed="false">
      <c r="B1" s="27" t="s">
        <v>72</v>
      </c>
      <c r="C1" s="27"/>
      <c r="D1" s="27"/>
      <c r="E1" s="27"/>
      <c r="F1" s="27"/>
      <c r="G1" s="27"/>
      <c r="H1" s="27"/>
    </row>
    <row r="3" customFormat="false" ht="15" hidden="false" customHeight="false" outlineLevel="0" collapsed="false">
      <c r="B3" s="28" t="s">
        <v>73</v>
      </c>
    </row>
    <row r="4" customFormat="false" ht="15" hidden="false" customHeight="false" outlineLevel="0" collapsed="false">
      <c r="B4" s="29" t="s">
        <v>74</v>
      </c>
      <c r="C4" s="30" t="n">
        <v>0.015</v>
      </c>
      <c r="D4" s="30" t="n">
        <v>0.02</v>
      </c>
      <c r="E4" s="30" t="n">
        <v>0.025</v>
      </c>
      <c r="F4" s="30" t="n">
        <v>0.03</v>
      </c>
      <c r="G4" s="30" t="n">
        <v>0.035</v>
      </c>
    </row>
    <row r="5" customFormat="false" ht="15" hidden="false" customHeight="false" outlineLevel="0" collapsed="false">
      <c r="B5" s="31" t="n">
        <v>0.08</v>
      </c>
      <c r="C5" s="32" t="n">
        <f aca="false">('DCF Model'!C31*((1+'DCF Model'!C25)^5)/((1+$B$5)^5)+'DCF Model'!I22*(1+C$4)/($B$5-C$4)/(1+$B$5)^5+'DCF Model'!C39+'DCF Model'!C40)/'DCF Model'!C45</f>
        <v>3.27376735825292</v>
      </c>
      <c r="D5" s="32" t="n">
        <f aca="false">('DCF Model'!C31*((1+'DCF Model'!C25)^5)/((1+$B$5)^5)+'DCF Model'!I22*(1+D$4)/($B$5-D$4)/(1+$B$5)^5+'DCF Model'!C39+'DCF Model'!C40)/'DCF Model'!C45</f>
        <v>3.6023298449469</v>
      </c>
      <c r="E5" s="32" t="n">
        <f aca="false">('DCF Model'!C31*((1+'DCF Model'!C25)^5)/((1+$B$5)^5)+'DCF Model'!I22*(1+E$4)/($B$5-E$4)/(1+$B$5)^5+'DCF Model'!C39+'DCF Model'!C40)/'DCF Model'!C45</f>
        <v>3.99063096558524</v>
      </c>
      <c r="F5" s="32" t="n">
        <f aca="false">('DCF Model'!C31*((1+'DCF Model'!C25)^5)/((1+$B$5)^5)+'DCF Model'!I22*(1+F$4)/($B$5-F$4)/(1+$B$5)^5+'DCF Model'!C39+'DCF Model'!C40)/'DCF Model'!C45</f>
        <v>4.45659231035125</v>
      </c>
      <c r="G5" s="32" t="n">
        <f aca="false">('DCF Model'!C31*((1+'DCF Model'!C25)^5)/((1+$B$5)^5)+'DCF Model'!I22*(1+G$4)/($B$5-G$4)/(1+$B$5)^5+'DCF Model'!C39+'DCF Model'!C40)/'DCF Model'!C45</f>
        <v>5.02610062062081</v>
      </c>
    </row>
    <row r="6" customFormat="false" ht="15" hidden="false" customHeight="false" outlineLevel="0" collapsed="false">
      <c r="B6" s="31" t="n">
        <v>0.09</v>
      </c>
      <c r="C6" s="32" t="n">
        <f aca="false">('DCF Model'!C31*((1+'DCF Model'!C25)^5)/((1+$B$6)^5)+'DCF Model'!I22*(1+C$4)/($B$6-C$4)/(1+$B$6)^5+'DCF Model'!C39+'DCF Model'!C40)/'DCF Model'!C45</f>
        <v>2.5869591552887</v>
      </c>
      <c r="D6" s="32" t="n">
        <f aca="false">('DCF Model'!C31*((1+'DCF Model'!C25)^5)/((1+$B$6)^5)+'DCF Model'!I22*(1+D$4)/($B$6-D$4)/(1+$B$6)^5+'DCF Model'!C39+'DCF Model'!C40)/'DCF Model'!C45</f>
        <v>2.82219977270103</v>
      </c>
      <c r="E6" s="32" t="n">
        <f aca="false">('DCF Model'!C31*((1+'DCF Model'!C25)^5)/((1+$B$6)^5)+'DCF Model'!I22*(1+E$4)/($B$6-E$4)/(1+$B$6)^5+'DCF Model'!C39+'DCF Model'!C40)/'DCF Model'!C45</f>
        <v>3.09363125433064</v>
      </c>
      <c r="F6" s="32" t="n">
        <f aca="false">('DCF Model'!C31*((1+'DCF Model'!C25)^5)/((1+$B$6)^5)+'DCF Model'!I22*(1+F$4)/($B$6-F$4)/(1+$B$6)^5+'DCF Model'!C39+'DCF Model'!C40)/'DCF Model'!C45</f>
        <v>3.41030131623185</v>
      </c>
      <c r="G6" s="32" t="n">
        <f aca="false">('DCF Model'!C31*((1+'DCF Model'!C25)^5)/((1+$B$6)^5)+'DCF Model'!I22*(1+G$4)/($B$6-G$4)/(1+$B$6)^5+'DCF Model'!C39+'DCF Model'!C40)/'DCF Model'!C45</f>
        <v>3.78454775302418</v>
      </c>
    </row>
    <row r="7" customFormat="false" ht="15" hidden="false" customHeight="false" outlineLevel="0" collapsed="false">
      <c r="B7" s="31" t="n">
        <v>0.1</v>
      </c>
      <c r="C7" s="32" t="n">
        <f aca="false">('DCF Model'!C31*((1+'DCF Model'!C25)^5)/((1+$B$7)^5)+'DCF Model'!I22*(1+C$4)/($B$7-C$4)/(1+$B$7)^5+'DCF Model'!C39+'DCF Model'!C40)/'DCF Model'!C45</f>
        <v>2.05984430288437</v>
      </c>
      <c r="D7" s="32" t="n">
        <f aca="false">('DCF Model'!C31*((1+'DCF Model'!C25)^5)/((1+$B$7)^5)+'DCF Model'!I22*(1+D$4)/($B$7-D$4)/(1+$B$7)^5+'DCF Model'!C39+'DCF Model'!C40)/'DCF Model'!C45</f>
        <v>2.23494906305499</v>
      </c>
      <c r="E7" s="32" t="n">
        <f aca="false">('DCF Model'!C31*((1+'DCF Model'!C25)^5)/((1+$B$7)^5)+'DCF Model'!I22*(1+E$4)/($B$7-E$4)/(1+$B$7)^5+'DCF Model'!C39+'DCF Model'!C40)/'DCF Model'!C45</f>
        <v>2.4334011245817</v>
      </c>
      <c r="F7" s="32" t="n">
        <f aca="false">('DCF Model'!C31*((1+'DCF Model'!C25)^5)/((1+$B$7)^5)+'DCF Model'!I22*(1+F$4)/($B$7-F$4)/(1+$B$7)^5+'DCF Model'!C39+'DCF Model'!C40)/'DCF Model'!C45</f>
        <v>2.66020348061222</v>
      </c>
      <c r="G7" s="32" t="n">
        <f aca="false">('DCF Model'!C31*((1+'DCF Model'!C25)^5)/((1+$B$7)^5)+'DCF Model'!I22*(1+G$4)/($B$7-G$4)/(1+$B$7)^5+'DCF Model'!C39+'DCF Model'!C40)/'DCF Model'!C45</f>
        <v>2.92189850680128</v>
      </c>
    </row>
    <row r="8" customFormat="false" ht="15" hidden="false" customHeight="false" outlineLevel="0" collapsed="false">
      <c r="B8" s="31" t="n">
        <v>0.11</v>
      </c>
      <c r="C8" s="32" t="n">
        <f aca="false">('DCF Model'!C31*((1+'DCF Model'!C25)^5)/((1+$B$8)^5)+'DCF Model'!I22*(1+C$4)/($B$8-C$4)/(1+$B$8)^5+'DCF Model'!C39+'DCF Model'!C40)/'DCF Model'!C45</f>
        <v>1.6422687463569</v>
      </c>
      <c r="D8" s="32" t="n">
        <f aca="false">('DCF Model'!C31*((1+'DCF Model'!C25)^5)/((1+$B$8)^5)+'DCF Model'!I22*(1+D$4)/($B$8-D$4)/(1+$B$8)^5+'DCF Model'!C39+'DCF Model'!C40)/'DCF Model'!C45</f>
        <v>1.77658221839525</v>
      </c>
      <c r="E8" s="32" t="n">
        <f aca="false">('DCF Model'!C31*((1+'DCF Model'!C25)^5)/((1+$B$8)^5)+'DCF Model'!I22*(1+E$4)/($B$8-E$4)/(1+$B$8)^5+'DCF Model'!C39+'DCF Model'!C40)/'DCF Model'!C45</f>
        <v>1.9266972753793</v>
      </c>
      <c r="F8" s="32" t="n">
        <f aca="false">('DCF Model'!C31*((1+'DCF Model'!C25)^5)/((1+$B$8)^5)+'DCF Model'!I22*(1+F$4)/($B$8-F$4)/(1+$B$8)^5+'DCF Model'!C39+'DCF Model'!C40)/'DCF Model'!C45</f>
        <v>2.09557671448635</v>
      </c>
      <c r="G8" s="32" t="n">
        <f aca="false">('DCF Model'!C31*((1+'DCF Model'!C25)^5)/((1+$B$8)^5)+'DCF Model'!I22*(1+G$4)/($B$8-G$4)/(1+$B$8)^5+'DCF Model'!C39+'DCF Model'!C40)/'DCF Model'!C45</f>
        <v>2.286973412141</v>
      </c>
    </row>
    <row r="9" customFormat="false" ht="15" hidden="false" customHeight="false" outlineLevel="0" collapsed="false">
      <c r="B9" s="31" t="n">
        <v>0.12</v>
      </c>
      <c r="C9" s="32" t="n">
        <f aca="false">('DCF Model'!C31*((1+'DCF Model'!C25)^5)/((1+$B$9)^5)+'DCF Model'!I22*(1+C$4)/($B$9-C$4)/(1+$B$9)^5+'DCF Model'!C39+'DCF Model'!C40)/'DCF Model'!C45</f>
        <v>1.30315917650541</v>
      </c>
      <c r="D9" s="32" t="n">
        <f aca="false">('DCF Model'!C31*((1+'DCF Model'!C25)^5)/((1+$B$9)^5)+'DCF Model'!I22*(1+D$4)/($B$9-D$4)/(1+$B$9)^5+'DCF Model'!C39+'DCF Model'!C40)/'DCF Model'!C45</f>
        <v>1.40867466551226</v>
      </c>
      <c r="E9" s="32" t="n">
        <f aca="false">('DCF Model'!C31*((1+'DCF Model'!C25)^5)/((1+$B$9)^5)+'DCF Model'!I22*(1+E$4)/($B$9-E$4)/(1+$B$9)^5+'DCF Model'!C39+'DCF Model'!C40)/'DCF Model'!C45</f>
        <v>1.52529704809877</v>
      </c>
      <c r="F9" s="32" t="n">
        <f aca="false">('DCF Model'!C31*((1+'DCF Model'!C25)^5)/((1+$B$9)^5)+'DCF Model'!I22*(1+F$4)/($B$9-F$4)/(1+$B$9)^5+'DCF Model'!C39+'DCF Model'!C40)/'DCF Model'!C45</f>
        <v>1.6548774731949</v>
      </c>
      <c r="G9" s="32" t="n">
        <f aca="false">('DCF Model'!C31*((1+'DCF Model'!C25)^5)/((1+$B$9)^5)+'DCF Model'!I22*(1+G$4)/($B$9-G$4)/(1+$B$9)^5+'DCF Model'!C39+'DCF Model'!C40)/'DCF Model'!C45</f>
        <v>1.7997026541847</v>
      </c>
    </row>
    <row r="12" customFormat="false" ht="15" hidden="false" customHeight="false" outlineLevel="0" collapsed="false">
      <c r="B12" s="6" t="s">
        <v>75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2026-02-25T20:53:06Z</dcterms:created>
  <dc:creator>openpyxl</dc:creator>
  <dc:description/>
  <dc:language>en-US</dc:language>
  <cp:lastModifiedBy/>
  <dcterms:modified xsi:type="dcterms:W3CDTF">2026-02-25T20:53:06Z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