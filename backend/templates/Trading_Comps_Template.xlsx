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Data" sheetId="1" state="visible" r:id="rId3"/>
    <sheet name="Trading Multiples" sheetId="2" state="visible" r:id="rId4"/>
    <sheet name="Implied Valuation" sheetId="3" state="visible" r:id="rId5"/>
    <sheet name="Benchmark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<sst xmlns="http://schemas.openxmlformats.org/spreadsheetml/2006/main" count="133" uniqueCount="104">
  <si>
    <t xml:space="preserve">COMPARABLE COMPANY ANALYSIS — DATA INPUT</t>
  </si>
  <si>
    <t xml:space="preserve">Enter company data below. Blue cells are user inputs. All amounts in $mm unless noted. Yellow cells = key inputs to populate first.</t>
  </si>
  <si>
    <t xml:space="preserve">IDENTIFICATION</t>
  </si>
  <si>
    <t xml:space="preserve">MARKET DATA &amp; CAPITALIZATION</t>
  </si>
  <si>
    <t xml:space="preserve">FINANCIAL DATA ($mm)</t>
  </si>
  <si>
    <t xml:space="preserve">KEY METRICS</t>
  </si>
  <si>
    <t xml:space="preserve">#</t>
  </si>
  <si>
    <t xml:space="preserve">Company Name</t>
  </si>
  <si>
    <t xml:space="preserve">Ticker</t>
  </si>
  <si>
    <t xml:space="preserve">Share Price ($)</t>
  </si>
  <si>
    <t xml:space="preserve">Shares Out (mm)</t>
  </si>
  <si>
    <t xml:space="preserve">Market Cap ($mm)</t>
  </si>
  <si>
    <t xml:space="preserve">Net Debt ($mm)</t>
  </si>
  <si>
    <t xml:space="preserve">Enterprise Value ($mm)</t>
  </si>
  <si>
    <t xml:space="preserve">LTM Revenue</t>
  </si>
  <si>
    <t xml:space="preserve">NTM Revenue</t>
  </si>
  <si>
    <t xml:space="preserve">LTM EBITDA</t>
  </si>
  <si>
    <t xml:space="preserve">NTM EBITDA</t>
  </si>
  <si>
    <t xml:space="preserve">LTM Net Income</t>
  </si>
  <si>
    <t xml:space="preserve">NTM Net Income</t>
  </si>
  <si>
    <t xml:space="preserve">LTM FCF</t>
  </si>
  <si>
    <t xml:space="preserve">LTM Rev Growth</t>
  </si>
  <si>
    <t xml:space="preserve">NTM Rev Growth</t>
  </si>
  <si>
    <t xml:space="preserve">LTM EBITDA Margin</t>
  </si>
  <si>
    <t xml:space="preserve">NTM EBITDA Margin</t>
  </si>
  <si>
    <t xml:space="preserve">Net Margin</t>
  </si>
  <si>
    <t xml:space="preserve">ROE</t>
  </si>
  <si>
    <t xml:space="preserve">Dividend Yield</t>
  </si>
  <si>
    <t xml:space="preserve">Company A</t>
  </si>
  <si>
    <t xml:space="preserve">CMPA</t>
  </si>
  <si>
    <t xml:space="preserve">Company B</t>
  </si>
  <si>
    <t xml:space="preserve">CMPB</t>
  </si>
  <si>
    <t xml:space="preserve">Company C</t>
  </si>
  <si>
    <t xml:space="preserve">CMPC</t>
  </si>
  <si>
    <t xml:space="preserve">Company D</t>
  </si>
  <si>
    <t xml:space="preserve">CMPD</t>
  </si>
  <si>
    <t xml:space="preserve">Company E</t>
  </si>
  <si>
    <t xml:space="preserve">CMPE</t>
  </si>
  <si>
    <t xml:space="preserve">Company F</t>
  </si>
  <si>
    <t xml:space="preserve">CMPF</t>
  </si>
  <si>
    <t xml:space="preserve">Company G</t>
  </si>
  <si>
    <t xml:space="preserve">CMPG</t>
  </si>
  <si>
    <t xml:space="preserve">Company H</t>
  </si>
  <si>
    <t xml:space="preserve">CMPH</t>
  </si>
  <si>
    <t xml:space="preserve">Company I</t>
  </si>
  <si>
    <t xml:space="preserve">CMPI</t>
  </si>
  <si>
    <t xml:space="preserve">Company J</t>
  </si>
  <si>
    <t xml:space="preserve">CMPJ</t>
  </si>
  <si>
    <t xml:space="preserve">COMPARABLE COMPANY ANALYSIS — TRADING MULTIPLES</t>
  </si>
  <si>
    <t xml:space="preserve">COMPANY</t>
  </si>
  <si>
    <t xml:space="preserve">EV-BASED MULTIPLES</t>
  </si>
  <si>
    <t xml:space="preserve">EQUITY MULTIPLES</t>
  </si>
  <si>
    <t xml:space="preserve">YIELD &amp; RETURNS</t>
  </si>
  <si>
    <t xml:space="preserve">Company</t>
  </si>
  <si>
    <t xml:space="preserve">EV / LTM Rev</t>
  </si>
  <si>
    <t xml:space="preserve">EV / NTM Rev</t>
  </si>
  <si>
    <t xml:space="preserve">EV / LTM EBITDA</t>
  </si>
  <si>
    <t xml:space="preserve">EV / NTM EBITDA</t>
  </si>
  <si>
    <t xml:space="preserve">P / LTM E</t>
  </si>
  <si>
    <t xml:space="preserve">P / NTM E</t>
  </si>
  <si>
    <t xml:space="preserve">FCF Yield</t>
  </si>
  <si>
    <t xml:space="preserve">EV / LTM FCF</t>
  </si>
  <si>
    <t xml:space="preserve">SUMMARY STATISTICS</t>
  </si>
  <si>
    <t xml:space="preserve">Mean</t>
  </si>
  <si>
    <t xml:space="preserve">Median</t>
  </si>
  <si>
    <t xml:space="preserve">High</t>
  </si>
  <si>
    <t xml:space="preserve">Low</t>
  </si>
  <si>
    <t xml:space="preserve">25th Percentile</t>
  </si>
  <si>
    <t xml:space="preserve">75th Percentile</t>
  </si>
  <si>
    <t xml:space="preserve">IMPLIED VALUATION RANGE — TARGET COMPANY</t>
  </si>
  <si>
    <t xml:space="preserve">TARGET COMPANY DATA</t>
  </si>
  <si>
    <t xml:space="preserve">Target Company Name</t>
  </si>
  <si>
    <t xml:space="preserve">Enter Target Name</t>
  </si>
  <si>
    <t xml:space="preserve">Target Ticker</t>
  </si>
  <si>
    <t xml:space="preserve">TGT</t>
  </si>
  <si>
    <t xml:space="preserve">Current Share Price ($)</t>
  </si>
  <si>
    <t xml:space="preserve">Shares Outstanding (mm)</t>
  </si>
  <si>
    <t xml:space="preserve">LTM Revenue ($mm)</t>
  </si>
  <si>
    <t xml:space="preserve">NTM Revenue ($mm)</t>
  </si>
  <si>
    <t xml:space="preserve">LTM EBITDA ($mm)</t>
  </si>
  <si>
    <t xml:space="preserve">NTM EBITDA ($mm)</t>
  </si>
  <si>
    <t xml:space="preserve">LTM Net Income ($mm)</t>
  </si>
  <si>
    <t xml:space="preserve">NTM Net Income ($mm)</t>
  </si>
  <si>
    <t xml:space="preserve">LTM FCF ($mm)</t>
  </si>
  <si>
    <t xml:space="preserve">IMPLIED ENTERPRISE VALUE &amp; EQUITY VALUE</t>
  </si>
  <si>
    <t xml:space="preserve">Metric</t>
  </si>
  <si>
    <t xml:space="preserve">Comp Median</t>
  </si>
  <si>
    <t xml:space="preserve">Implied EV ($mm)</t>
  </si>
  <si>
    <t xml:space="preserve">Implied Equity ($mm)</t>
  </si>
  <si>
    <t xml:space="preserve">Implied Price/Share</t>
  </si>
  <si>
    <t xml:space="preserve">EV / LTM Revenue</t>
  </si>
  <si>
    <t xml:space="preserve">EV / NTM Revenue</t>
  </si>
  <si>
    <t xml:space="preserve">P / LTM Earnings</t>
  </si>
  <si>
    <t xml:space="preserve">P / NTM Earnings</t>
  </si>
  <si>
    <t xml:space="preserve">VALUATION SUMMARY</t>
  </si>
  <si>
    <t xml:space="preserve">Implied Price Range</t>
  </si>
  <si>
    <t xml:space="preserve">Current Share Price</t>
  </si>
  <si>
    <t xml:space="preserve">Upside / (Downside) to Median</t>
  </si>
  <si>
    <t xml:space="preserve">OPERATING BENCHMARKING</t>
  </si>
  <si>
    <t xml:space="preserve">GROWTH METRICS</t>
  </si>
  <si>
    <t xml:space="preserve">PROFITABILITY</t>
  </si>
  <si>
    <t xml:space="preserve">RETURNS</t>
  </si>
  <si>
    <t xml:space="preserve">LTM EBITDA Growth</t>
  </si>
  <si>
    <t xml:space="preserve">NTM EBITDA Growth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</si>
</sst>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%"/>
    <numFmt numFmtId="168" formatCode="0.0\x"/>
    <numFmt numFmtId="169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B1:W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14"/>
    <col collapsed="false" customWidth="true" hidden="false" outlineLevel="0" max="16" min="9" style="1" width="16"/>
    <col collapsed="false" customWidth="true" hidden="false" outlineLevel="0" max="23" min="17" style="1" width="14"/>
  </cols>
  <sheetData>
    <row r="1" customFormat="false" ht="31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true" outlineLevel="0" collapsed="false">
      <c r="B3" s="4" t="s">
        <v>2</v>
      </c>
      <c r="C3" s="4"/>
      <c r="D3" s="4"/>
      <c r="E3" s="4" t="s">
        <v>3</v>
      </c>
      <c r="F3" s="4"/>
      <c r="G3" s="4"/>
      <c r="H3" s="4"/>
      <c r="I3" s="4"/>
      <c r="J3" s="4" t="s">
        <v>4</v>
      </c>
      <c r="K3" s="4"/>
      <c r="L3" s="4"/>
      <c r="M3" s="4"/>
      <c r="N3" s="4"/>
      <c r="O3" s="4"/>
      <c r="P3" s="4"/>
      <c r="Q3" s="4" t="s">
        <v>5</v>
      </c>
      <c r="R3" s="4"/>
      <c r="S3" s="4"/>
      <c r="T3" s="4"/>
      <c r="U3" s="4"/>
      <c r="V3" s="4"/>
      <c r="W3" s="4"/>
    </row>
    <row r="4" customFormat="false" ht="23.25" hidden="false" customHeight="true" outlineLevel="0" collapsed="false"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customFormat="false" ht="15" hidden="false" customHeight="true" outlineLevel="0" collapsed="false">
      <c r="B5" s="6" t="n">
        <v>1</v>
      </c>
      <c r="C5" s="7" t="s">
        <v>28</v>
      </c>
      <c r="D5" s="7" t="s">
        <v>29</v>
      </c>
      <c r="E5" s="8"/>
      <c r="F5" s="9"/>
      <c r="G5" s="10" t="n">
        <f aca="false">E5*F5</f>
        <v>0</v>
      </c>
      <c r="H5" s="9"/>
      <c r="I5" s="10" t="n">
        <f aca="false">G5+H5</f>
        <v>0</v>
      </c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</row>
    <row r="6" customFormat="false" ht="15" hidden="false" customHeight="true" outlineLevel="0" collapsed="false">
      <c r="B6" s="12" t="n">
        <v>2</v>
      </c>
      <c r="C6" s="7" t="s">
        <v>30</v>
      </c>
      <c r="D6" s="7" t="s">
        <v>31</v>
      </c>
      <c r="E6" s="8"/>
      <c r="F6" s="9"/>
      <c r="G6" s="13" t="n">
        <f aca="false">E6*F6</f>
        <v>0</v>
      </c>
      <c r="H6" s="9"/>
      <c r="I6" s="13" t="n">
        <f aca="false">G6+H6</f>
        <v>0</v>
      </c>
      <c r="J6" s="9"/>
      <c r="K6" s="9"/>
      <c r="L6" s="9"/>
      <c r="M6" s="9"/>
      <c r="N6" s="9"/>
      <c r="O6" s="9"/>
      <c r="P6" s="9"/>
      <c r="Q6" s="14"/>
      <c r="R6" s="14"/>
      <c r="S6" s="14"/>
      <c r="T6" s="14"/>
      <c r="U6" s="14"/>
      <c r="V6" s="14"/>
      <c r="W6" s="14"/>
    </row>
    <row r="7" customFormat="false" ht="15" hidden="false" customHeight="true" outlineLevel="0" collapsed="false">
      <c r="B7" s="6" t="n">
        <v>3</v>
      </c>
      <c r="C7" s="7" t="s">
        <v>32</v>
      </c>
      <c r="D7" s="7" t="s">
        <v>33</v>
      </c>
      <c r="E7" s="8"/>
      <c r="F7" s="9"/>
      <c r="G7" s="10" t="n">
        <f aca="false">E7*F7</f>
        <v>0</v>
      </c>
      <c r="H7" s="9"/>
      <c r="I7" s="10" t="n">
        <f aca="false">G7+H7</f>
        <v>0</v>
      </c>
      <c r="J7" s="9"/>
      <c r="K7" s="9"/>
      <c r="L7" s="9"/>
      <c r="M7" s="9"/>
      <c r="N7" s="9"/>
      <c r="O7" s="9"/>
      <c r="P7" s="9"/>
      <c r="Q7" s="11"/>
      <c r="R7" s="11"/>
      <c r="S7" s="11"/>
      <c r="T7" s="11"/>
      <c r="U7" s="11"/>
      <c r="V7" s="11"/>
      <c r="W7" s="11"/>
    </row>
    <row r="8" customFormat="false" ht="15" hidden="false" customHeight="true" outlineLevel="0" collapsed="false">
      <c r="B8" s="12" t="n">
        <v>4</v>
      </c>
      <c r="C8" s="7" t="s">
        <v>34</v>
      </c>
      <c r="D8" s="7" t="s">
        <v>35</v>
      </c>
      <c r="E8" s="8"/>
      <c r="F8" s="9"/>
      <c r="G8" s="13" t="n">
        <f aca="false">E8*F8</f>
        <v>0</v>
      </c>
      <c r="H8" s="9"/>
      <c r="I8" s="13" t="n">
        <f aca="false">G8+H8</f>
        <v>0</v>
      </c>
      <c r="J8" s="9"/>
      <c r="K8" s="9"/>
      <c r="L8" s="9"/>
      <c r="M8" s="9"/>
      <c r="N8" s="9"/>
      <c r="O8" s="9"/>
      <c r="P8" s="9"/>
      <c r="Q8" s="14"/>
      <c r="R8" s="14"/>
      <c r="S8" s="14"/>
      <c r="T8" s="14"/>
      <c r="U8" s="14"/>
      <c r="V8" s="14"/>
      <c r="W8" s="14"/>
    </row>
    <row r="9" customFormat="false" ht="15" hidden="false" customHeight="true" outlineLevel="0" collapsed="false">
      <c r="B9" s="6" t="n">
        <v>5</v>
      </c>
      <c r="C9" s="7" t="s">
        <v>36</v>
      </c>
      <c r="D9" s="7" t="s">
        <v>37</v>
      </c>
      <c r="E9" s="8"/>
      <c r="F9" s="9"/>
      <c r="G9" s="10" t="n">
        <f aca="false">E9*F9</f>
        <v>0</v>
      </c>
      <c r="H9" s="9"/>
      <c r="I9" s="10" t="n">
        <f aca="false">G9+H9</f>
        <v>0</v>
      </c>
      <c r="J9" s="9"/>
      <c r="K9" s="9"/>
      <c r="L9" s="9"/>
      <c r="M9" s="9"/>
      <c r="N9" s="9"/>
      <c r="O9" s="9"/>
      <c r="P9" s="9"/>
      <c r="Q9" s="11"/>
      <c r="R9" s="11"/>
      <c r="S9" s="11"/>
      <c r="T9" s="11"/>
      <c r="U9" s="11"/>
      <c r="V9" s="11"/>
      <c r="W9" s="11"/>
    </row>
    <row r="10" customFormat="false" ht="15" hidden="false" customHeight="true" outlineLevel="0" collapsed="false">
      <c r="B10" s="12" t="n">
        <v>6</v>
      </c>
      <c r="C10" s="7" t="s">
        <v>38</v>
      </c>
      <c r="D10" s="7" t="s">
        <v>39</v>
      </c>
      <c r="E10" s="8"/>
      <c r="F10" s="9"/>
      <c r="G10" s="13" t="n">
        <f aca="false">E10*F10</f>
        <v>0</v>
      </c>
      <c r="H10" s="9"/>
      <c r="I10" s="13" t="n">
        <f aca="false">G10+H10</f>
        <v>0</v>
      </c>
      <c r="J10" s="9"/>
      <c r="K10" s="9"/>
      <c r="L10" s="9"/>
      <c r="M10" s="9"/>
      <c r="N10" s="9"/>
      <c r="O10" s="9"/>
      <c r="P10" s="9"/>
      <c r="Q10" s="14"/>
      <c r="R10" s="14"/>
      <c r="S10" s="14"/>
      <c r="T10" s="14"/>
      <c r="U10" s="14"/>
      <c r="V10" s="14"/>
      <c r="W10" s="14"/>
    </row>
    <row r="11" customFormat="false" ht="15" hidden="false" customHeight="true" outlineLevel="0" collapsed="false">
      <c r="B11" s="6" t="n">
        <v>7</v>
      </c>
      <c r="C11" s="7" t="s">
        <v>40</v>
      </c>
      <c r="D11" s="7" t="s">
        <v>41</v>
      </c>
      <c r="E11" s="8"/>
      <c r="F11" s="9"/>
      <c r="G11" s="10" t="n">
        <f aca="false">E11*F11</f>
        <v>0</v>
      </c>
      <c r="H11" s="9"/>
      <c r="I11" s="10" t="n">
        <f aca="false">G11+H11</f>
        <v>0</v>
      </c>
      <c r="J11" s="9"/>
      <c r="K11" s="9"/>
      <c r="L11" s="9"/>
      <c r="M11" s="9"/>
      <c r="N11" s="9"/>
      <c r="O11" s="9"/>
      <c r="P11" s="9"/>
      <c r="Q11" s="11"/>
      <c r="R11" s="11"/>
      <c r="S11" s="11"/>
      <c r="T11" s="11"/>
      <c r="U11" s="11"/>
      <c r="V11" s="11"/>
      <c r="W11" s="11"/>
    </row>
    <row r="12" customFormat="false" ht="15" hidden="false" customHeight="true" outlineLevel="0" collapsed="false">
      <c r="B12" s="12" t="n">
        <v>8</v>
      </c>
      <c r="C12" s="7" t="s">
        <v>42</v>
      </c>
      <c r="D12" s="7" t="s">
        <v>43</v>
      </c>
      <c r="E12" s="8"/>
      <c r="F12" s="9"/>
      <c r="G12" s="13" t="n">
        <f aca="false">E12*F12</f>
        <v>0</v>
      </c>
      <c r="H12" s="9"/>
      <c r="I12" s="13" t="n">
        <f aca="false">G12+H12</f>
        <v>0</v>
      </c>
      <c r="J12" s="9"/>
      <c r="K12" s="9"/>
      <c r="L12" s="9"/>
      <c r="M12" s="9"/>
      <c r="N12" s="9"/>
      <c r="O12" s="9"/>
      <c r="P12" s="9"/>
      <c r="Q12" s="14"/>
      <c r="R12" s="14"/>
      <c r="S12" s="14"/>
      <c r="T12" s="14"/>
      <c r="U12" s="14"/>
      <c r="V12" s="14"/>
      <c r="W12" s="14"/>
    </row>
    <row r="13" customFormat="false" ht="15" hidden="false" customHeight="true" outlineLevel="0" collapsed="false">
      <c r="B13" s="6" t="n">
        <v>9</v>
      </c>
      <c r="C13" s="7" t="s">
        <v>44</v>
      </c>
      <c r="D13" s="7" t="s">
        <v>45</v>
      </c>
      <c r="E13" s="8"/>
      <c r="F13" s="9"/>
      <c r="G13" s="10" t="n">
        <f aca="false">E13*F13</f>
        <v>0</v>
      </c>
      <c r="H13" s="9"/>
      <c r="I13" s="10" t="n">
        <f aca="false">G13+H13</f>
        <v>0</v>
      </c>
      <c r="J13" s="9"/>
      <c r="K13" s="9"/>
      <c r="L13" s="9"/>
      <c r="M13" s="9"/>
      <c r="N13" s="9"/>
      <c r="O13" s="9"/>
      <c r="P13" s="9"/>
      <c r="Q13" s="11"/>
      <c r="R13" s="11"/>
      <c r="S13" s="11"/>
      <c r="T13" s="11"/>
      <c r="U13" s="11"/>
      <c r="V13" s="11"/>
      <c r="W13" s="11"/>
    </row>
    <row r="14" customFormat="false" ht="15" hidden="false" customHeight="true" outlineLevel="0" collapsed="false">
      <c r="B14" s="12" t="n">
        <v>10</v>
      </c>
      <c r="C14" s="7" t="s">
        <v>46</v>
      </c>
      <c r="D14" s="7" t="s">
        <v>47</v>
      </c>
      <c r="E14" s="8"/>
      <c r="F14" s="9"/>
      <c r="G14" s="13" t="n">
        <f aca="false">E14*F14</f>
        <v>0</v>
      </c>
      <c r="H14" s="9"/>
      <c r="I14" s="13" t="n">
        <f aca="false">G14+H14</f>
        <v>0</v>
      </c>
      <c r="J14" s="9"/>
      <c r="K14" s="9"/>
      <c r="L14" s="9"/>
      <c r="M14" s="9"/>
      <c r="N14" s="9"/>
      <c r="O14" s="9"/>
      <c r="P14" s="9"/>
      <c r="Q14" s="14"/>
      <c r="R14" s="14"/>
      <c r="S14" s="14"/>
      <c r="T14" s="14"/>
      <c r="U14" s="14"/>
      <c r="V14" s="14"/>
      <c r="W14" s="14"/>
    </row>
  </sheetData>
  <mergeCells count="6">
    <mergeCell ref="B1:W1"/>
    <mergeCell ref="B2:W2"/>
    <mergeCell ref="B3:D3"/>
    <mergeCell ref="E3:I3"/>
    <mergeCell ref="J3:P3"/>
    <mergeCell ref="Q3:W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B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13" min="5" style="1" width="16"/>
  </cols>
  <sheetData>
    <row r="1" customFormat="false" ht="31.5" hidden="false" customHeight="true" outlineLevel="0" collapsed="false">
      <c r="B1" s="2" t="s">
        <v>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5" hidden="false" customHeight="true" outlineLevel="0" collapsed="false">
      <c r="B3" s="4" t="s">
        <v>49</v>
      </c>
      <c r="C3" s="4"/>
      <c r="D3" s="4"/>
      <c r="E3" s="4" t="s">
        <v>50</v>
      </c>
      <c r="F3" s="4"/>
      <c r="G3" s="4"/>
      <c r="H3" s="4"/>
      <c r="I3" s="4" t="s">
        <v>51</v>
      </c>
      <c r="J3" s="4"/>
      <c r="K3" s="4" t="s">
        <v>52</v>
      </c>
      <c r="L3" s="4"/>
      <c r="M3" s="4"/>
    </row>
    <row r="4" customFormat="false" ht="15" hidden="false" customHeight="true" outlineLevel="0" collapsed="false">
      <c r="B4" s="5" t="s">
        <v>6</v>
      </c>
      <c r="C4" s="5" t="s">
        <v>53</v>
      </c>
      <c r="D4" s="5" t="s">
        <v>8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  <c r="K4" s="5" t="s">
        <v>60</v>
      </c>
      <c r="L4" s="5" t="s">
        <v>27</v>
      </c>
      <c r="M4" s="5" t="s">
        <v>61</v>
      </c>
    </row>
    <row r="5" customFormat="false" ht="15" hidden="false" customHeight="true" outlineLevel="0" collapsed="false">
      <c r="B5" s="6" t="n">
        <v>1</v>
      </c>
      <c r="C5" s="15" t="str">
        <f aca="false">'Company Data'!C5</f>
        <v>Company A</v>
      </c>
      <c r="D5" s="15" t="str">
        <f aca="false">'Company Data'!D5</f>
        <v>CMPA</v>
      </c>
      <c r="E5" s="16" t="n">
        <f aca="false">IF('Company Data'!J5=0,0,'Company Data'!I5/'Company Data'!J5)</f>
        <v>0</v>
      </c>
      <c r="F5" s="16" t="n">
        <f aca="false">IF('Company Data'!K5=0,0,'Company Data'!I5/'Company Data'!K5)</f>
        <v>0</v>
      </c>
      <c r="G5" s="16" t="n">
        <f aca="false">IF('Company Data'!L5=0,0,'Company Data'!I5/'Company Data'!L5)</f>
        <v>0</v>
      </c>
      <c r="H5" s="16" t="n">
        <f aca="false">IF('Company Data'!M5=0,0,'Company Data'!I5/'Company Data'!M5)</f>
        <v>0</v>
      </c>
      <c r="I5" s="16" t="n">
        <f aca="false">IF('Company Data'!N5=0,0,'Company Data'!G5/'Company Data'!N5)</f>
        <v>0</v>
      </c>
      <c r="J5" s="16" t="n">
        <f aca="false">IF('Company Data'!O5=0,0,'Company Data'!G5/'Company Data'!O5)</f>
        <v>0</v>
      </c>
      <c r="K5" s="17" t="n">
        <f aca="false">IF('Company Data'!G5=0,0,'Company Data'!P5/'Company Data'!G5)</f>
        <v>0</v>
      </c>
      <c r="L5" s="18" t="n">
        <f aca="false">'Company Data'!W5</f>
        <v>0</v>
      </c>
      <c r="M5" s="16" t="n">
        <f aca="false">IF('Company Data'!P5=0,0,'Company Data'!I5/'Company Data'!P5)</f>
        <v>0</v>
      </c>
    </row>
    <row r="6" customFormat="false" ht="15" hidden="false" customHeight="true" outlineLevel="0" collapsed="false">
      <c r="B6" s="12" t="n">
        <v>2</v>
      </c>
      <c r="C6" s="19" t="str">
        <f aca="false">'Company Data'!C6</f>
        <v>Company B</v>
      </c>
      <c r="D6" s="19" t="str">
        <f aca="false">'Company Data'!D6</f>
        <v>CMPB</v>
      </c>
      <c r="E6" s="20" t="n">
        <f aca="false">IF('Company Data'!J6=0,0,'Company Data'!I6/'Company Data'!J6)</f>
        <v>0</v>
      </c>
      <c r="F6" s="20" t="n">
        <f aca="false">IF('Company Data'!K6=0,0,'Company Data'!I6/'Company Data'!K6)</f>
        <v>0</v>
      </c>
      <c r="G6" s="20" t="n">
        <f aca="false">IF('Company Data'!L6=0,0,'Company Data'!I6/'Company Data'!L6)</f>
        <v>0</v>
      </c>
      <c r="H6" s="20" t="n">
        <f aca="false">IF('Company Data'!M6=0,0,'Company Data'!I6/'Company Data'!M6)</f>
        <v>0</v>
      </c>
      <c r="I6" s="20" t="n">
        <f aca="false">IF('Company Data'!N6=0,0,'Company Data'!G6/'Company Data'!N6)</f>
        <v>0</v>
      </c>
      <c r="J6" s="20" t="n">
        <f aca="false">IF('Company Data'!O6=0,0,'Company Data'!G6/'Company Data'!O6)</f>
        <v>0</v>
      </c>
      <c r="K6" s="21" t="n">
        <f aca="false">IF('Company Data'!G6=0,0,'Company Data'!P6/'Company Data'!G6)</f>
        <v>0</v>
      </c>
      <c r="L6" s="22" t="n">
        <f aca="false">'Company Data'!W6</f>
        <v>0</v>
      </c>
      <c r="M6" s="20" t="n">
        <f aca="false">IF('Company Data'!P6=0,0,'Company Data'!I6/'Company Data'!P6)</f>
        <v>0</v>
      </c>
    </row>
    <row r="7" customFormat="false" ht="15" hidden="false" customHeight="true" outlineLevel="0" collapsed="false">
      <c r="B7" s="6" t="n">
        <v>3</v>
      </c>
      <c r="C7" s="15" t="str">
        <f aca="false">'Company Data'!C7</f>
        <v>Company C</v>
      </c>
      <c r="D7" s="15" t="str">
        <f aca="false">'Company Data'!D7</f>
        <v>CMPC</v>
      </c>
      <c r="E7" s="16" t="n">
        <f aca="false">IF('Company Data'!J7=0,0,'Company Data'!I7/'Company Data'!J7)</f>
        <v>0</v>
      </c>
      <c r="F7" s="16" t="n">
        <f aca="false">IF('Company Data'!K7=0,0,'Company Data'!I7/'Company Data'!K7)</f>
        <v>0</v>
      </c>
      <c r="G7" s="16" t="n">
        <f aca="false">IF('Company Data'!L7=0,0,'Company Data'!I7/'Company Data'!L7)</f>
        <v>0</v>
      </c>
      <c r="H7" s="16" t="n">
        <f aca="false">IF('Company Data'!M7=0,0,'Company Data'!I7/'Company Data'!M7)</f>
        <v>0</v>
      </c>
      <c r="I7" s="16" t="n">
        <f aca="false">IF('Company Data'!N7=0,0,'Company Data'!G7/'Company Data'!N7)</f>
        <v>0</v>
      </c>
      <c r="J7" s="16" t="n">
        <f aca="false">IF('Company Data'!O7=0,0,'Company Data'!G7/'Company Data'!O7)</f>
        <v>0</v>
      </c>
      <c r="K7" s="17" t="n">
        <f aca="false">IF('Company Data'!G7=0,0,'Company Data'!P7/'Company Data'!G7)</f>
        <v>0</v>
      </c>
      <c r="L7" s="18" t="n">
        <f aca="false">'Company Data'!W7</f>
        <v>0</v>
      </c>
      <c r="M7" s="16" t="n">
        <f aca="false">IF('Company Data'!P7=0,0,'Company Data'!I7/'Company Data'!P7)</f>
        <v>0</v>
      </c>
    </row>
    <row r="8" customFormat="false" ht="15" hidden="false" customHeight="true" outlineLevel="0" collapsed="false">
      <c r="B8" s="12" t="n">
        <v>4</v>
      </c>
      <c r="C8" s="19" t="str">
        <f aca="false">'Company Data'!C8</f>
        <v>Company D</v>
      </c>
      <c r="D8" s="19" t="str">
        <f aca="false">'Company Data'!D8</f>
        <v>CMPD</v>
      </c>
      <c r="E8" s="20" t="n">
        <f aca="false">IF('Company Data'!J8=0,0,'Company Data'!I8/'Company Data'!J8)</f>
        <v>0</v>
      </c>
      <c r="F8" s="20" t="n">
        <f aca="false">IF('Company Data'!K8=0,0,'Company Data'!I8/'Company Data'!K8)</f>
        <v>0</v>
      </c>
      <c r="G8" s="20" t="n">
        <f aca="false">IF('Company Data'!L8=0,0,'Company Data'!I8/'Company Data'!L8)</f>
        <v>0</v>
      </c>
      <c r="H8" s="20" t="n">
        <f aca="false">IF('Company Data'!M8=0,0,'Company Data'!I8/'Company Data'!M8)</f>
        <v>0</v>
      </c>
      <c r="I8" s="20" t="n">
        <f aca="false">IF('Company Data'!N8=0,0,'Company Data'!G8/'Company Data'!N8)</f>
        <v>0</v>
      </c>
      <c r="J8" s="20" t="n">
        <f aca="false">IF('Company Data'!O8=0,0,'Company Data'!G8/'Company Data'!O8)</f>
        <v>0</v>
      </c>
      <c r="K8" s="21" t="n">
        <f aca="false">IF('Company Data'!G8=0,0,'Company Data'!P8/'Company Data'!G8)</f>
        <v>0</v>
      </c>
      <c r="L8" s="22" t="n">
        <f aca="false">'Company Data'!W8</f>
        <v>0</v>
      </c>
      <c r="M8" s="20" t="n">
        <f aca="false">IF('Company Data'!P8=0,0,'Company Data'!I8/'Company Data'!P8)</f>
        <v>0</v>
      </c>
    </row>
    <row r="9" customFormat="false" ht="15" hidden="false" customHeight="true" outlineLevel="0" collapsed="false">
      <c r="B9" s="6" t="n">
        <v>5</v>
      </c>
      <c r="C9" s="15" t="str">
        <f aca="false">'Company Data'!C9</f>
        <v>Company E</v>
      </c>
      <c r="D9" s="15" t="str">
        <f aca="false">'Company Data'!D9</f>
        <v>CMPE</v>
      </c>
      <c r="E9" s="16" t="n">
        <f aca="false">IF('Company Data'!J9=0,0,'Company Data'!I9/'Company Data'!J9)</f>
        <v>0</v>
      </c>
      <c r="F9" s="16" t="n">
        <f aca="false">IF('Company Data'!K9=0,0,'Company Data'!I9/'Company Data'!K9)</f>
        <v>0</v>
      </c>
      <c r="G9" s="16" t="n">
        <f aca="false">IF('Company Data'!L9=0,0,'Company Data'!I9/'Company Data'!L9)</f>
        <v>0</v>
      </c>
      <c r="H9" s="16" t="n">
        <f aca="false">IF('Company Data'!M9=0,0,'Company Data'!I9/'Company Data'!M9)</f>
        <v>0</v>
      </c>
      <c r="I9" s="16" t="n">
        <f aca="false">IF('Company Data'!N9=0,0,'Company Data'!G9/'Company Data'!N9)</f>
        <v>0</v>
      </c>
      <c r="J9" s="16" t="n">
        <f aca="false">IF('Company Data'!O9=0,0,'Company Data'!G9/'Company Data'!O9)</f>
        <v>0</v>
      </c>
      <c r="K9" s="17" t="n">
        <f aca="false">IF('Company Data'!G9=0,0,'Company Data'!P9/'Company Data'!G9)</f>
        <v>0</v>
      </c>
      <c r="L9" s="18" t="n">
        <f aca="false">'Company Data'!W9</f>
        <v>0</v>
      </c>
      <c r="M9" s="16" t="n">
        <f aca="false">IF('Company Data'!P9=0,0,'Company Data'!I9/'Company Data'!P9)</f>
        <v>0</v>
      </c>
    </row>
    <row r="10" customFormat="false" ht="15" hidden="false" customHeight="true" outlineLevel="0" collapsed="false">
      <c r="B10" s="12" t="n">
        <v>6</v>
      </c>
      <c r="C10" s="19" t="str">
        <f aca="false">'Company Data'!C10</f>
        <v>Company F</v>
      </c>
      <c r="D10" s="19" t="str">
        <f aca="false">'Company Data'!D10</f>
        <v>CMPF</v>
      </c>
      <c r="E10" s="20" t="n">
        <f aca="false">IF('Company Data'!J10=0,0,'Company Data'!I10/'Company Data'!J10)</f>
        <v>0</v>
      </c>
      <c r="F10" s="20" t="n">
        <f aca="false">IF('Company Data'!K10=0,0,'Company Data'!I10/'Company Data'!K10)</f>
        <v>0</v>
      </c>
      <c r="G10" s="20" t="n">
        <f aca="false">IF('Company Data'!L10=0,0,'Company Data'!I10/'Company Data'!L10)</f>
        <v>0</v>
      </c>
      <c r="H10" s="20" t="n">
        <f aca="false">IF('Company Data'!M10=0,0,'Company Data'!I10/'Company Data'!M10)</f>
        <v>0</v>
      </c>
      <c r="I10" s="20" t="n">
        <f aca="false">IF('Company Data'!N10=0,0,'Company Data'!G10/'Company Data'!N10)</f>
        <v>0</v>
      </c>
      <c r="J10" s="20" t="n">
        <f aca="false">IF('Company Data'!O10=0,0,'Company Data'!G10/'Company Data'!O10)</f>
        <v>0</v>
      </c>
      <c r="K10" s="21" t="n">
        <f aca="false">IF('Company Data'!G10=0,0,'Company Data'!P10/'Company Data'!G10)</f>
        <v>0</v>
      </c>
      <c r="L10" s="22" t="n">
        <f aca="false">'Company Data'!W10</f>
        <v>0</v>
      </c>
      <c r="M10" s="20" t="n">
        <f aca="false">IF('Company Data'!P10=0,0,'Company Data'!I10/'Company Data'!P10)</f>
        <v>0</v>
      </c>
    </row>
    <row r="11" customFormat="false" ht="15" hidden="false" customHeight="true" outlineLevel="0" collapsed="false">
      <c r="B11" s="6" t="n">
        <v>7</v>
      </c>
      <c r="C11" s="15" t="str">
        <f aca="false">'Company Data'!C11</f>
        <v>Company G</v>
      </c>
      <c r="D11" s="15" t="str">
        <f aca="false">'Company Data'!D11</f>
        <v>CMPG</v>
      </c>
      <c r="E11" s="16" t="n">
        <f aca="false">IF('Company Data'!J11=0,0,'Company Data'!I11/'Company Data'!J11)</f>
        <v>0</v>
      </c>
      <c r="F11" s="16" t="n">
        <f aca="false">IF('Company Data'!K11=0,0,'Company Data'!I11/'Company Data'!K11)</f>
        <v>0</v>
      </c>
      <c r="G11" s="16" t="n">
        <f aca="false">IF('Company Data'!L11=0,0,'Company Data'!I11/'Company Data'!L11)</f>
        <v>0</v>
      </c>
      <c r="H11" s="16" t="n">
        <f aca="false">IF('Company Data'!M11=0,0,'Company Data'!I11/'Company Data'!M11)</f>
        <v>0</v>
      </c>
      <c r="I11" s="16" t="n">
        <f aca="false">IF('Company Data'!N11=0,0,'Company Data'!G11/'Company Data'!N11)</f>
        <v>0</v>
      </c>
      <c r="J11" s="16" t="n">
        <f aca="false">IF('Company Data'!O11=0,0,'Company Data'!G11/'Company Data'!O11)</f>
        <v>0</v>
      </c>
      <c r="K11" s="17" t="n">
        <f aca="false">IF('Company Data'!G11=0,0,'Company Data'!P11/'Company Data'!G11)</f>
        <v>0</v>
      </c>
      <c r="L11" s="18" t="n">
        <f aca="false">'Company Data'!W11</f>
        <v>0</v>
      </c>
      <c r="M11" s="16" t="n">
        <f aca="false">IF('Company Data'!P11=0,0,'Company Data'!I11/'Company Data'!P11)</f>
        <v>0</v>
      </c>
    </row>
    <row r="12" customFormat="false" ht="15" hidden="false" customHeight="true" outlineLevel="0" collapsed="false">
      <c r="B12" s="12" t="n">
        <v>8</v>
      </c>
      <c r="C12" s="19" t="str">
        <f aca="false">'Company Data'!C12</f>
        <v>Company H</v>
      </c>
      <c r="D12" s="19" t="str">
        <f aca="false">'Company Data'!D12</f>
        <v>CMPH</v>
      </c>
      <c r="E12" s="20" t="n">
        <f aca="false">IF('Company Data'!J12=0,0,'Company Data'!I12/'Company Data'!J12)</f>
        <v>0</v>
      </c>
      <c r="F12" s="20" t="n">
        <f aca="false">IF('Company Data'!K12=0,0,'Company Data'!I12/'Company Data'!K12)</f>
        <v>0</v>
      </c>
      <c r="G12" s="20" t="n">
        <f aca="false">IF('Company Data'!L12=0,0,'Company Data'!I12/'Company Data'!L12)</f>
        <v>0</v>
      </c>
      <c r="H12" s="20" t="n">
        <f aca="false">IF('Company Data'!M12=0,0,'Company Data'!I12/'Company Data'!M12)</f>
        <v>0</v>
      </c>
      <c r="I12" s="20" t="n">
        <f aca="false">IF('Company Data'!N12=0,0,'Company Data'!G12/'Company Data'!N12)</f>
        <v>0</v>
      </c>
      <c r="J12" s="20" t="n">
        <f aca="false">IF('Company Data'!O12=0,0,'Company Data'!G12/'Company Data'!O12)</f>
        <v>0</v>
      </c>
      <c r="K12" s="21" t="n">
        <f aca="false">IF('Company Data'!G12=0,0,'Company Data'!P12/'Company Data'!G12)</f>
        <v>0</v>
      </c>
      <c r="L12" s="22" t="n">
        <f aca="false">'Company Data'!W12</f>
        <v>0</v>
      </c>
      <c r="M12" s="20" t="n">
        <f aca="false">IF('Company Data'!P12=0,0,'Company Data'!I12/'Company Data'!P12)</f>
        <v>0</v>
      </c>
    </row>
    <row r="13" customFormat="false" ht="15" hidden="false" customHeight="true" outlineLevel="0" collapsed="false">
      <c r="B13" s="6" t="n">
        <v>9</v>
      </c>
      <c r="C13" s="15" t="str">
        <f aca="false">'Company Data'!C13</f>
        <v>Company I</v>
      </c>
      <c r="D13" s="15" t="str">
        <f aca="false">'Company Data'!D13</f>
        <v>CMPI</v>
      </c>
      <c r="E13" s="16" t="n">
        <f aca="false">IF('Company Data'!J13=0,0,'Company Data'!I13/'Company Data'!J13)</f>
        <v>0</v>
      </c>
      <c r="F13" s="16" t="n">
        <f aca="false">IF('Company Data'!K13=0,0,'Company Data'!I13/'Company Data'!K13)</f>
        <v>0</v>
      </c>
      <c r="G13" s="16" t="n">
        <f aca="false">IF('Company Data'!L13=0,0,'Company Data'!I13/'Company Data'!L13)</f>
        <v>0</v>
      </c>
      <c r="H13" s="16" t="n">
        <f aca="false">IF('Company Data'!M13=0,0,'Company Data'!I13/'Company Data'!M13)</f>
        <v>0</v>
      </c>
      <c r="I13" s="16" t="n">
        <f aca="false">IF('Company Data'!N13=0,0,'Company Data'!G13/'Company Data'!N13)</f>
        <v>0</v>
      </c>
      <c r="J13" s="16" t="n">
        <f aca="false">IF('Company Data'!O13=0,0,'Company Data'!G13/'Company Data'!O13)</f>
        <v>0</v>
      </c>
      <c r="K13" s="17" t="n">
        <f aca="false">IF('Company Data'!G13=0,0,'Company Data'!P13/'Company Data'!G13)</f>
        <v>0</v>
      </c>
      <c r="L13" s="18" t="n">
        <f aca="false">'Company Data'!W13</f>
        <v>0</v>
      </c>
      <c r="M13" s="16" t="n">
        <f aca="false">IF('Company Data'!P13=0,0,'Company Data'!I13/'Company Data'!P13)</f>
        <v>0</v>
      </c>
    </row>
    <row r="14" customFormat="false" ht="15" hidden="false" customHeight="true" outlineLevel="0" collapsed="false">
      <c r="B14" s="12" t="n">
        <v>10</v>
      </c>
      <c r="C14" s="19" t="str">
        <f aca="false">'Company Data'!C14</f>
        <v>Company J</v>
      </c>
      <c r="D14" s="19" t="str">
        <f aca="false">'Company Data'!D14</f>
        <v>CMPJ</v>
      </c>
      <c r="E14" s="20" t="n">
        <f aca="false">IF('Company Data'!J14=0,0,'Company Data'!I14/'Company Data'!J14)</f>
        <v>0</v>
      </c>
      <c r="F14" s="20" t="n">
        <f aca="false">IF('Company Data'!K14=0,0,'Company Data'!I14/'Company Data'!K14)</f>
        <v>0</v>
      </c>
      <c r="G14" s="20" t="n">
        <f aca="false">IF('Company Data'!L14=0,0,'Company Data'!I14/'Company Data'!L14)</f>
        <v>0</v>
      </c>
      <c r="H14" s="20" t="n">
        <f aca="false">IF('Company Data'!M14=0,0,'Company Data'!I14/'Company Data'!M14)</f>
        <v>0</v>
      </c>
      <c r="I14" s="20" t="n">
        <f aca="false">IF('Company Data'!N14=0,0,'Company Data'!G14/'Company Data'!N14)</f>
        <v>0</v>
      </c>
      <c r="J14" s="20" t="n">
        <f aca="false">IF('Company Data'!O14=0,0,'Company Data'!G14/'Company Data'!O14)</f>
        <v>0</v>
      </c>
      <c r="K14" s="21" t="n">
        <f aca="false">IF('Company Data'!G14=0,0,'Company Data'!P14/'Company Data'!G14)</f>
        <v>0</v>
      </c>
      <c r="L14" s="22" t="n">
        <f aca="false">'Company Data'!W14</f>
        <v>0</v>
      </c>
      <c r="M14" s="20" t="n">
        <f aca="false">IF('Company Data'!P14=0,0,'Company Data'!I14/'Company Data'!P14)</f>
        <v>0</v>
      </c>
    </row>
    <row r="16" customFormat="false" ht="15" hidden="false" customHeight="true" outlineLevel="0" collapsed="false">
      <c r="B16" s="23" t="s">
        <v>62</v>
      </c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4"/>
    </row>
    <row r="17" customFormat="false" ht="15" hidden="false" customHeight="true" outlineLevel="0" collapsed="false">
      <c r="B17" s="25" t="s">
        <v>63</v>
      </c>
      <c r="C17" s="25"/>
      <c r="D17" s="25"/>
      <c r="E17" s="26" t="n">
        <f aca="false">IF(COUNT(E5:E14)=0,0,AVERAGE(E5:E14))</f>
        <v>0</v>
      </c>
      <c r="F17" s="26" t="n">
        <f aca="false">IF(COUNT(F5:F14)=0,0,AVERAGE(F5:F14))</f>
        <v>0</v>
      </c>
      <c r="G17" s="26" t="n">
        <f aca="false">IF(COUNT(G5:G14)=0,0,AVERAGE(G5:G14))</f>
        <v>0</v>
      </c>
      <c r="H17" s="26" t="n">
        <f aca="false">IF(COUNT(H5:H14)=0,0,AVERAGE(H5:H14))</f>
        <v>0</v>
      </c>
      <c r="I17" s="26" t="n">
        <f aca="false">IF(COUNT(I5:I14)=0,0,AVERAGE(I5:I14))</f>
        <v>0</v>
      </c>
      <c r="J17" s="26" t="n">
        <f aca="false">IF(COUNT(J5:J14)=0,0,AVERAGE(J5:J14))</f>
        <v>0</v>
      </c>
      <c r="K17" s="27" t="n">
        <f aca="false">IF(COUNT(K5:K14)=0,0,AVERAGE(K5:K14))</f>
        <v>0</v>
      </c>
      <c r="L17" s="27" t="n">
        <f aca="false">IF(COUNT(L5:L14)=0,0,AVERAGE(L5:L14))</f>
        <v>0</v>
      </c>
      <c r="M17" s="26" t="n">
        <f aca="false">IF(COUNT(M5:M14)=0,0,AVERAGE(M5:M14))</f>
        <v>0</v>
      </c>
    </row>
    <row r="18" customFormat="false" ht="15" hidden="false" customHeight="true" outlineLevel="0" collapsed="false">
      <c r="B18" s="28" t="s">
        <v>64</v>
      </c>
      <c r="C18" s="28"/>
      <c r="D18" s="28"/>
      <c r="E18" s="29" t="n">
        <f aca="false">IF(COUNT(E5:E14)=0,0,MEDIAN(E5:E14))</f>
        <v>0</v>
      </c>
      <c r="F18" s="29" t="n">
        <f aca="false">IF(COUNT(F5:F14)=0,0,MEDIAN(F5:F14))</f>
        <v>0</v>
      </c>
      <c r="G18" s="29" t="n">
        <f aca="false">IF(COUNT(G5:G14)=0,0,MEDIAN(G5:G14))</f>
        <v>0</v>
      </c>
      <c r="H18" s="29" t="n">
        <f aca="false">IF(COUNT(H5:H14)=0,0,MEDIAN(H5:H14))</f>
        <v>0</v>
      </c>
      <c r="I18" s="29" t="n">
        <f aca="false">IF(COUNT(I5:I14)=0,0,MEDIAN(I5:I14))</f>
        <v>0</v>
      </c>
      <c r="J18" s="29" t="n">
        <f aca="false">IF(COUNT(J5:J14)=0,0,MEDIAN(J5:J14))</f>
        <v>0</v>
      </c>
      <c r="K18" s="30" t="n">
        <f aca="false">IF(COUNT(K5:K14)=0,0,MEDIAN(K5:K14))</f>
        <v>0</v>
      </c>
      <c r="L18" s="30" t="n">
        <f aca="false">IF(COUNT(L5:L14)=0,0,MEDIAN(L5:L14))</f>
        <v>0</v>
      </c>
      <c r="M18" s="29" t="n">
        <f aca="false">IF(COUNT(M5:M14)=0,0,MEDIAN(M5:M14))</f>
        <v>0</v>
      </c>
    </row>
    <row r="19" customFormat="false" ht="15" hidden="false" customHeight="true" outlineLevel="0" collapsed="false">
      <c r="B19" s="25" t="s">
        <v>65</v>
      </c>
      <c r="C19" s="25"/>
      <c r="D19" s="25"/>
      <c r="E19" s="26" t="n">
        <f aca="false">IF(COUNT(E5:E14)=0,0,MAX(E5:E14))</f>
        <v>0</v>
      </c>
      <c r="F19" s="26" t="n">
        <f aca="false">IF(COUNT(F5:F14)=0,0,MAX(F5:F14))</f>
        <v>0</v>
      </c>
      <c r="G19" s="26" t="n">
        <f aca="false">IF(COUNT(G5:G14)=0,0,MAX(G5:G14))</f>
        <v>0</v>
      </c>
      <c r="H19" s="26" t="n">
        <f aca="false">IF(COUNT(H5:H14)=0,0,MAX(H5:H14))</f>
        <v>0</v>
      </c>
      <c r="I19" s="26" t="n">
        <f aca="false">IF(COUNT(I5:I14)=0,0,MAX(I5:I14))</f>
        <v>0</v>
      </c>
      <c r="J19" s="26" t="n">
        <f aca="false">IF(COUNT(J5:J14)=0,0,MAX(J5:J14))</f>
        <v>0</v>
      </c>
      <c r="K19" s="27" t="n">
        <f aca="false">IF(COUNT(K5:K14)=0,0,MAX(K5:K14))</f>
        <v>0</v>
      </c>
      <c r="L19" s="27" t="n">
        <f aca="false">IF(COUNT(L5:L14)=0,0,MAX(L5:L14))</f>
        <v>0</v>
      </c>
      <c r="M19" s="26" t="n">
        <f aca="false">IF(COUNT(M5:M14)=0,0,MAX(M5:M14))</f>
        <v>0</v>
      </c>
    </row>
    <row r="20" customFormat="false" ht="15" hidden="false" customHeight="true" outlineLevel="0" collapsed="false">
      <c r="B20" s="28" t="s">
        <v>66</v>
      </c>
      <c r="C20" s="28"/>
      <c r="D20" s="28"/>
      <c r="E20" s="29" t="n">
        <f aca="false">IF(COUNT(E5:E14)=0,0,MIN(E5:E14))</f>
        <v>0</v>
      </c>
      <c r="F20" s="29" t="n">
        <f aca="false">IF(COUNT(F5:F14)=0,0,MIN(F5:F14))</f>
        <v>0</v>
      </c>
      <c r="G20" s="29" t="n">
        <f aca="false">IF(COUNT(G5:G14)=0,0,MIN(G5:G14))</f>
        <v>0</v>
      </c>
      <c r="H20" s="29" t="n">
        <f aca="false">IF(COUNT(H5:H14)=0,0,MIN(H5:H14))</f>
        <v>0</v>
      </c>
      <c r="I20" s="29" t="n">
        <f aca="false">IF(COUNT(I5:I14)=0,0,MIN(I5:I14))</f>
        <v>0</v>
      </c>
      <c r="J20" s="29" t="n">
        <f aca="false">IF(COUNT(J5:J14)=0,0,MIN(J5:J14))</f>
        <v>0</v>
      </c>
      <c r="K20" s="30" t="n">
        <f aca="false">IF(COUNT(K5:K14)=0,0,MIN(K5:K14))</f>
        <v>0</v>
      </c>
      <c r="L20" s="30" t="n">
        <f aca="false">IF(COUNT(L5:L14)=0,0,MIN(L5:L14))</f>
        <v>0</v>
      </c>
      <c r="M20" s="29" t="n">
        <f aca="false">IF(COUNT(M5:M14)=0,0,MIN(M5:M14))</f>
        <v>0</v>
      </c>
    </row>
    <row r="21" customFormat="false" ht="15" hidden="false" customHeight="true" outlineLevel="0" collapsed="false">
      <c r="B21" s="25" t="s">
        <v>67</v>
      </c>
      <c r="C21" s="25"/>
      <c r="D21" s="25"/>
      <c r="E21" s="26" t="n">
        <f aca="false">IF(COUNT(E5:E14)=0,0,PERCENTILE(E5:E14,0.25))</f>
        <v>0</v>
      </c>
      <c r="F21" s="26" t="n">
        <f aca="false">IF(COUNT(F5:F14)=0,0,PERCENTILE(F5:F14,0.25))</f>
        <v>0</v>
      </c>
      <c r="G21" s="26" t="n">
        <f aca="false">IF(COUNT(G5:G14)=0,0,PERCENTILE(G5:G14,0.25))</f>
        <v>0</v>
      </c>
      <c r="H21" s="26" t="n">
        <f aca="false">IF(COUNT(H5:H14)=0,0,PERCENTILE(H5:H14,0.25))</f>
        <v>0</v>
      </c>
      <c r="I21" s="26" t="n">
        <f aca="false">IF(COUNT(I5:I14)=0,0,PERCENTILE(I5:I14,0.25))</f>
        <v>0</v>
      </c>
      <c r="J21" s="26" t="n">
        <f aca="false">IF(COUNT(J5:J14)=0,0,PERCENTILE(J5:J14,0.25))</f>
        <v>0</v>
      </c>
      <c r="K21" s="27" t="n">
        <f aca="false">IF(COUNT(K5:K14)=0,0,PERCENTILE(K5:K14,0.25))</f>
        <v>0</v>
      </c>
      <c r="L21" s="27" t="n">
        <f aca="false">IF(COUNT(L5:L14)=0,0,PERCENTILE(L5:L14,0.25))</f>
        <v>0</v>
      </c>
      <c r="M21" s="26" t="n">
        <f aca="false">IF(COUNT(M5:M14)=0,0,PERCENTILE(M5:M14,0.25))</f>
        <v>0</v>
      </c>
    </row>
    <row r="22" customFormat="false" ht="15" hidden="false" customHeight="true" outlineLevel="0" collapsed="false">
      <c r="B22" s="28" t="s">
        <v>68</v>
      </c>
      <c r="C22" s="28"/>
      <c r="D22" s="28"/>
      <c r="E22" s="31" t="n">
        <f aca="false">IF(COUNT(E5:E14)=0,0,PERCENTILE(E5:E14,0.75))</f>
        <v>0</v>
      </c>
      <c r="F22" s="31" t="n">
        <f aca="false">IF(COUNT(F5:F14)=0,0,PERCENTILE(F5:F14,0.75))</f>
        <v>0</v>
      </c>
      <c r="G22" s="31" t="n">
        <f aca="false">IF(COUNT(G5:G14)=0,0,PERCENTILE(G5:G14,0.75))</f>
        <v>0</v>
      </c>
      <c r="H22" s="31" t="n">
        <f aca="false">IF(COUNT(H5:H14)=0,0,PERCENTILE(H5:H14,0.75))</f>
        <v>0</v>
      </c>
      <c r="I22" s="31" t="n">
        <f aca="false">IF(COUNT(I5:I14)=0,0,PERCENTILE(I5:I14,0.75))</f>
        <v>0</v>
      </c>
      <c r="J22" s="31" t="n">
        <f aca="false">IF(COUNT(J5:J14)=0,0,PERCENTILE(J5:J14,0.75))</f>
        <v>0</v>
      </c>
      <c r="K22" s="32" t="n">
        <f aca="false">IF(COUNT(K5:K14)=0,0,PERCENTILE(K5:K14,0.75))</f>
        <v>0</v>
      </c>
      <c r="L22" s="32" t="n">
        <f aca="false">IF(COUNT(L5:L14)=0,0,PERCENTILE(L5:L14,0.75))</f>
        <v>0</v>
      </c>
      <c r="M22" s="31" t="n">
        <f aca="false">IF(COUNT(M5:M14)=0,0,PERCENTILE(M5:M14,0.75))</f>
        <v>0</v>
      </c>
    </row>
  </sheetData>
  <mergeCells count="12">
    <mergeCell ref="B1:M1"/>
    <mergeCell ref="B3:D3"/>
    <mergeCell ref="E3:H3"/>
    <mergeCell ref="I3:J3"/>
    <mergeCell ref="K3:M3"/>
    <mergeCell ref="B16:D16"/>
    <mergeCell ref="B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6" min="3" style="1" width="20"/>
  </cols>
  <sheetData>
    <row r="1" customFormat="false" ht="31.5" hidden="false" customHeight="true" outlineLevel="0" collapsed="false">
      <c r="B1" s="2" t="s">
        <v>69</v>
      </c>
      <c r="C1" s="2"/>
      <c r="D1" s="2"/>
      <c r="E1" s="2"/>
      <c r="F1" s="2"/>
    </row>
    <row r="3" customFormat="false" ht="15" hidden="false" customHeight="true" outlineLevel="0" collapsed="false">
      <c r="B3" s="23" t="s">
        <v>70</v>
      </c>
      <c r="C3" s="23"/>
      <c r="D3" s="23"/>
      <c r="E3" s="23"/>
      <c r="F3" s="23"/>
    </row>
    <row r="4" customFormat="false" ht="15" hidden="false" customHeight="true" outlineLevel="0" collapsed="false">
      <c r="B4" s="33" t="s">
        <v>71</v>
      </c>
      <c r="C4" s="7" t="s">
        <v>72</v>
      </c>
    </row>
    <row r="5" customFormat="false" ht="15" hidden="false" customHeight="true" outlineLevel="0" collapsed="false">
      <c r="B5" s="33" t="s">
        <v>73</v>
      </c>
      <c r="C5" s="7" t="s">
        <v>74</v>
      </c>
    </row>
    <row r="6" customFormat="false" ht="15" hidden="false" customHeight="true" outlineLevel="0" collapsed="false">
      <c r="B6" s="33" t="s">
        <v>75</v>
      </c>
      <c r="C6" s="8"/>
    </row>
    <row r="7" customFormat="false" ht="15" hidden="false" customHeight="true" outlineLevel="0" collapsed="false">
      <c r="B7" s="33" t="s">
        <v>76</v>
      </c>
      <c r="C7" s="9"/>
    </row>
    <row r="8" customFormat="false" ht="15" hidden="false" customHeight="true" outlineLevel="0" collapsed="false">
      <c r="B8" s="33" t="s">
        <v>12</v>
      </c>
      <c r="C8" s="9"/>
    </row>
    <row r="9" customFormat="false" ht="15" hidden="false" customHeight="true" outlineLevel="0" collapsed="false">
      <c r="B9" s="33" t="s">
        <v>77</v>
      </c>
      <c r="C9" s="9"/>
    </row>
    <row r="10" customFormat="false" ht="15" hidden="false" customHeight="true" outlineLevel="0" collapsed="false">
      <c r="B10" s="33" t="s">
        <v>78</v>
      </c>
      <c r="C10" s="9"/>
    </row>
    <row r="11" customFormat="false" ht="15" hidden="false" customHeight="true" outlineLevel="0" collapsed="false">
      <c r="B11" s="33" t="s">
        <v>79</v>
      </c>
      <c r="C11" s="9"/>
    </row>
    <row r="12" customFormat="false" ht="15" hidden="false" customHeight="true" outlineLevel="0" collapsed="false">
      <c r="B12" s="33" t="s">
        <v>80</v>
      </c>
      <c r="C12" s="9"/>
    </row>
    <row r="13" customFormat="false" ht="15" hidden="false" customHeight="true" outlineLevel="0" collapsed="false">
      <c r="B13" s="33" t="s">
        <v>81</v>
      </c>
      <c r="C13" s="9"/>
    </row>
    <row r="14" customFormat="false" ht="15" hidden="false" customHeight="true" outlineLevel="0" collapsed="false">
      <c r="B14" s="33" t="s">
        <v>82</v>
      </c>
      <c r="C14" s="9"/>
    </row>
    <row r="15" customFormat="false" ht="15" hidden="false" customHeight="true" outlineLevel="0" collapsed="false">
      <c r="B15" s="33" t="s">
        <v>83</v>
      </c>
      <c r="C15" s="9"/>
    </row>
    <row r="16" customFormat="false" ht="15" hidden="false" customHeight="true" outlineLevel="0" collapsed="false">
      <c r="B16" s="33" t="s">
        <v>11</v>
      </c>
      <c r="C16" s="10" t="n">
        <f aca="false">C6*C7</f>
        <v>0</v>
      </c>
    </row>
    <row r="17" customFormat="false" ht="15" hidden="false" customHeight="true" outlineLevel="0" collapsed="false">
      <c r="B17" s="33" t="s">
        <v>13</v>
      </c>
      <c r="C17" s="10" t="n">
        <f aca="false">C16+C8</f>
        <v>0</v>
      </c>
    </row>
    <row r="19" customFormat="false" ht="15" hidden="false" customHeight="true" outlineLevel="0" collapsed="false">
      <c r="B19" s="23" t="s">
        <v>84</v>
      </c>
      <c r="C19" s="23"/>
      <c r="D19" s="23"/>
      <c r="E19" s="23"/>
      <c r="F19" s="23"/>
    </row>
    <row r="20" customFormat="false" ht="15" hidden="false" customHeight="true" outlineLevel="0" collapsed="false">
      <c r="B20" s="5" t="s">
        <v>85</v>
      </c>
      <c r="C20" s="5" t="s">
        <v>86</v>
      </c>
      <c r="D20" s="5" t="s">
        <v>87</v>
      </c>
      <c r="E20" s="5" t="s">
        <v>88</v>
      </c>
      <c r="F20" s="5" t="s">
        <v>89</v>
      </c>
    </row>
    <row r="21" customFormat="false" ht="15" hidden="false" customHeight="true" outlineLevel="0" collapsed="false">
      <c r="B21" s="33" t="s">
        <v>90</v>
      </c>
      <c r="C21" s="34" t="n">
        <f aca="false">'Trading Multiples'!E18</f>
        <v>0</v>
      </c>
      <c r="D21" s="10" t="n">
        <f aca="false">C9*C21</f>
        <v>0</v>
      </c>
      <c r="E21" s="10" t="n">
        <f aca="false">D21-C8</f>
        <v>0</v>
      </c>
      <c r="F21" s="35" t="n">
        <f aca="false">IF(C7=0,0,E21/C7)</f>
        <v>0</v>
      </c>
    </row>
    <row r="22" customFormat="false" ht="15" hidden="false" customHeight="true" outlineLevel="0" collapsed="false">
      <c r="B22" s="36" t="s">
        <v>91</v>
      </c>
      <c r="C22" s="37" t="n">
        <f aca="false">'Trading Multiples'!F18</f>
        <v>0</v>
      </c>
      <c r="D22" s="13" t="n">
        <f aca="false">C10*C22</f>
        <v>0</v>
      </c>
      <c r="E22" s="13" t="n">
        <f aca="false">D22-C8</f>
        <v>0</v>
      </c>
      <c r="F22" s="38" t="n">
        <f aca="false">IF(C7=0,0,E22/C7)</f>
        <v>0</v>
      </c>
    </row>
    <row r="23" customFormat="false" ht="15" hidden="false" customHeight="true" outlineLevel="0" collapsed="false">
      <c r="B23" s="33" t="s">
        <v>56</v>
      </c>
      <c r="C23" s="34" t="n">
        <f aca="false">'Trading Multiples'!G18</f>
        <v>0</v>
      </c>
      <c r="D23" s="10" t="n">
        <f aca="false">C11*C23</f>
        <v>0</v>
      </c>
      <c r="E23" s="10" t="n">
        <f aca="false">D23-C8</f>
        <v>0</v>
      </c>
      <c r="F23" s="35" t="n">
        <f aca="false">IF(C7=0,0,E23/C7)</f>
        <v>0</v>
      </c>
    </row>
    <row r="24" customFormat="false" ht="15" hidden="false" customHeight="true" outlineLevel="0" collapsed="false">
      <c r="B24" s="36" t="s">
        <v>57</v>
      </c>
      <c r="C24" s="37" t="n">
        <f aca="false">'Trading Multiples'!H18</f>
        <v>0</v>
      </c>
      <c r="D24" s="13" t="n">
        <f aca="false">C12*C24</f>
        <v>0</v>
      </c>
      <c r="E24" s="13" t="n">
        <f aca="false">D24-C8</f>
        <v>0</v>
      </c>
      <c r="F24" s="38" t="n">
        <f aca="false">IF(C7=0,0,E24/C7)</f>
        <v>0</v>
      </c>
    </row>
    <row r="25" customFormat="false" ht="15" hidden="false" customHeight="true" outlineLevel="0" collapsed="false">
      <c r="B25" s="33" t="s">
        <v>92</v>
      </c>
      <c r="C25" s="34" t="n">
        <f aca="false">'Trading Multiples'!I18</f>
        <v>0</v>
      </c>
      <c r="D25" s="39" t="n">
        <f aca="false">C13*C25+C8</f>
        <v>0</v>
      </c>
      <c r="E25" s="10" t="n">
        <f aca="false">C13*C25</f>
        <v>0</v>
      </c>
      <c r="F25" s="35" t="n">
        <f aca="false">IF(C7=0,0,E25/C7)</f>
        <v>0</v>
      </c>
    </row>
    <row r="26" customFormat="false" ht="15" hidden="false" customHeight="true" outlineLevel="0" collapsed="false">
      <c r="B26" s="36" t="s">
        <v>93</v>
      </c>
      <c r="C26" s="37" t="n">
        <f aca="false">'Trading Multiples'!J18</f>
        <v>0</v>
      </c>
      <c r="D26" s="40" t="n">
        <f aca="false">C14*C26+C8</f>
        <v>0</v>
      </c>
      <c r="E26" s="13" t="n">
        <f aca="false">C14*C26</f>
        <v>0</v>
      </c>
      <c r="F26" s="38" t="n">
        <f aca="false">IF(C7=0,0,E26/C7)</f>
        <v>0</v>
      </c>
    </row>
    <row r="28" customFormat="false" ht="15" hidden="false" customHeight="true" outlineLevel="0" collapsed="false">
      <c r="B28" s="41" t="s">
        <v>94</v>
      </c>
      <c r="C28" s="41"/>
      <c r="D28" s="41"/>
      <c r="E28" s="41"/>
      <c r="F28" s="41"/>
    </row>
    <row r="29" customFormat="false" ht="15" hidden="false" customHeight="true" outlineLevel="0" collapsed="false">
      <c r="B29" s="33" t="s">
        <v>95</v>
      </c>
    </row>
    <row r="30" customFormat="false" ht="15" hidden="false" customHeight="true" outlineLevel="0" collapsed="false">
      <c r="B30" s="33" t="s">
        <v>66</v>
      </c>
      <c r="C30" s="35" t="n">
        <f aca="false">MIN(F20:F25)</f>
        <v>0</v>
      </c>
    </row>
    <row r="31" customFormat="false" ht="15" hidden="false" customHeight="true" outlineLevel="0" collapsed="false">
      <c r="B31" s="33" t="s">
        <v>64</v>
      </c>
      <c r="C31" s="35" t="n">
        <f aca="false">MEDIAN(F20:F25)</f>
        <v>0</v>
      </c>
    </row>
    <row r="32" customFormat="false" ht="15" hidden="false" customHeight="true" outlineLevel="0" collapsed="false">
      <c r="B32" s="33" t="s">
        <v>65</v>
      </c>
      <c r="C32" s="35" t="n">
        <f aca="false">MAX(F20:F25)</f>
        <v>0</v>
      </c>
    </row>
    <row r="34" customFormat="false" ht="15" hidden="false" customHeight="true" outlineLevel="0" collapsed="false">
      <c r="B34" s="33" t="s">
        <v>96</v>
      </c>
      <c r="C34" s="42" t="n">
        <f aca="false">C6</f>
        <v>0</v>
      </c>
    </row>
    <row r="35" customFormat="false" ht="15" hidden="false" customHeight="true" outlineLevel="0" collapsed="false">
      <c r="B35" s="33" t="s">
        <v>97</v>
      </c>
      <c r="C35" s="43" t="n">
        <f aca="false">IF(C34=0,0,C31/C34-1)</f>
        <v>0</v>
      </c>
    </row>
  </sheetData>
  <mergeCells count="4">
    <mergeCell ref="B1:F1"/>
    <mergeCell ref="B3:F3"/>
    <mergeCell ref="B19:F19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4" min="4" style="1" width="12"/>
    <col collapsed="false" customWidth="true" hidden="false" outlineLevel="0" max="13" min="5" style="1" width="16"/>
  </cols>
  <sheetData>
    <row r="1" customFormat="false" ht="31.5" hidden="false" customHeight="true" outlineLevel="0" collapsed="false">
      <c r="B1" s="2" t="s">
        <v>98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customFormat="false" ht="15" hidden="false" customHeight="true" outlineLevel="0" collapsed="false">
      <c r="B3" s="4" t="s">
        <v>49</v>
      </c>
      <c r="C3" s="4"/>
      <c r="D3" s="4"/>
      <c r="E3" s="4" t="s">
        <v>99</v>
      </c>
      <c r="F3" s="4"/>
      <c r="G3" s="4"/>
      <c r="H3" s="4"/>
      <c r="I3" s="4" t="s">
        <v>100</v>
      </c>
      <c r="J3" s="4"/>
      <c r="K3" s="4"/>
      <c r="L3" s="4" t="s">
        <v>101</v>
      </c>
      <c r="M3" s="4"/>
    </row>
    <row r="4" customFormat="false" ht="23.25" hidden="false" customHeight="true" outlineLevel="0" collapsed="false">
      <c r="B4" s="5" t="s">
        <v>6</v>
      </c>
      <c r="C4" s="5" t="s">
        <v>53</v>
      </c>
      <c r="D4" s="5" t="s">
        <v>8</v>
      </c>
      <c r="E4" s="5" t="s">
        <v>21</v>
      </c>
      <c r="F4" s="5" t="s">
        <v>22</v>
      </c>
      <c r="G4" s="5" t="s">
        <v>102</v>
      </c>
      <c r="H4" s="5" t="s">
        <v>103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60</v>
      </c>
    </row>
    <row r="5" customFormat="false" ht="15" hidden="false" customHeight="true" outlineLevel="0" collapsed="false">
      <c r="B5" s="6" t="n">
        <v>1</v>
      </c>
      <c r="C5" s="15" t="str">
        <f aca="false">'Company Data'!C5</f>
        <v>Company A</v>
      </c>
      <c r="D5" s="15" t="str">
        <f aca="false">'Company Data'!D5</f>
        <v>CMPA</v>
      </c>
      <c r="E5" s="18" t="n">
        <f aca="false">'Company Data'!Q5</f>
        <v>0</v>
      </c>
      <c r="F5" s="18" t="n">
        <f aca="false">'Company Data'!R5</f>
        <v>0</v>
      </c>
      <c r="G5" s="44"/>
      <c r="H5" s="44"/>
      <c r="I5" s="18" t="n">
        <f aca="false">'Company Data'!S5</f>
        <v>0</v>
      </c>
      <c r="J5" s="18" t="n">
        <f aca="false">'Company Data'!T5</f>
        <v>0</v>
      </c>
      <c r="K5" s="18" t="n">
        <f aca="false">'Company Data'!U5</f>
        <v>0</v>
      </c>
      <c r="L5" s="18" t="n">
        <f aca="false">'Company Data'!V5</f>
        <v>0</v>
      </c>
      <c r="M5" s="18" t="n">
        <f aca="false">'Trading Multiples'!K5</f>
        <v>0</v>
      </c>
    </row>
    <row r="6" customFormat="false" ht="15" hidden="false" customHeight="true" outlineLevel="0" collapsed="false">
      <c r="B6" s="12" t="n">
        <v>2</v>
      </c>
      <c r="C6" s="19" t="str">
        <f aca="false">'Company Data'!C6</f>
        <v>Company B</v>
      </c>
      <c r="D6" s="19" t="str">
        <f aca="false">'Company Data'!D6</f>
        <v>CMPB</v>
      </c>
      <c r="E6" s="22" t="n">
        <f aca="false">'Company Data'!Q6</f>
        <v>0</v>
      </c>
      <c r="F6" s="22" t="n">
        <f aca="false">'Company Data'!R6</f>
        <v>0</v>
      </c>
      <c r="G6" s="44"/>
      <c r="H6" s="44"/>
      <c r="I6" s="22" t="n">
        <f aca="false">'Company Data'!S6</f>
        <v>0</v>
      </c>
      <c r="J6" s="22" t="n">
        <f aca="false">'Company Data'!T6</f>
        <v>0</v>
      </c>
      <c r="K6" s="22" t="n">
        <f aca="false">'Company Data'!U6</f>
        <v>0</v>
      </c>
      <c r="L6" s="22" t="n">
        <f aca="false">'Company Data'!V6</f>
        <v>0</v>
      </c>
      <c r="M6" s="22" t="n">
        <f aca="false">'Trading Multiples'!K6</f>
        <v>0</v>
      </c>
    </row>
    <row r="7" customFormat="false" ht="15" hidden="false" customHeight="true" outlineLevel="0" collapsed="false">
      <c r="B7" s="6" t="n">
        <v>3</v>
      </c>
      <c r="C7" s="15" t="str">
        <f aca="false">'Company Data'!C7</f>
        <v>Company C</v>
      </c>
      <c r="D7" s="15" t="str">
        <f aca="false">'Company Data'!D7</f>
        <v>CMPC</v>
      </c>
      <c r="E7" s="18" t="n">
        <f aca="false">'Company Data'!Q7</f>
        <v>0</v>
      </c>
      <c r="F7" s="18" t="n">
        <f aca="false">'Company Data'!R7</f>
        <v>0</v>
      </c>
      <c r="G7" s="44"/>
      <c r="H7" s="44"/>
      <c r="I7" s="18" t="n">
        <f aca="false">'Company Data'!S7</f>
        <v>0</v>
      </c>
      <c r="J7" s="18" t="n">
        <f aca="false">'Company Data'!T7</f>
        <v>0</v>
      </c>
      <c r="K7" s="18" t="n">
        <f aca="false">'Company Data'!U7</f>
        <v>0</v>
      </c>
      <c r="L7" s="18" t="n">
        <f aca="false">'Company Data'!V7</f>
        <v>0</v>
      </c>
      <c r="M7" s="18" t="n">
        <f aca="false">'Trading Multiples'!K7</f>
        <v>0</v>
      </c>
    </row>
    <row r="8" customFormat="false" ht="15" hidden="false" customHeight="true" outlineLevel="0" collapsed="false">
      <c r="B8" s="12" t="n">
        <v>4</v>
      </c>
      <c r="C8" s="19" t="str">
        <f aca="false">'Company Data'!C8</f>
        <v>Company D</v>
      </c>
      <c r="D8" s="19" t="str">
        <f aca="false">'Company Data'!D8</f>
        <v>CMPD</v>
      </c>
      <c r="E8" s="22" t="n">
        <f aca="false">'Company Data'!Q8</f>
        <v>0</v>
      </c>
      <c r="F8" s="22" t="n">
        <f aca="false">'Company Data'!R8</f>
        <v>0</v>
      </c>
      <c r="G8" s="44"/>
      <c r="H8" s="44"/>
      <c r="I8" s="22" t="n">
        <f aca="false">'Company Data'!S8</f>
        <v>0</v>
      </c>
      <c r="J8" s="22" t="n">
        <f aca="false">'Company Data'!T8</f>
        <v>0</v>
      </c>
      <c r="K8" s="22" t="n">
        <f aca="false">'Company Data'!U8</f>
        <v>0</v>
      </c>
      <c r="L8" s="22" t="n">
        <f aca="false">'Company Data'!V8</f>
        <v>0</v>
      </c>
      <c r="M8" s="22" t="n">
        <f aca="false">'Trading Multiples'!K8</f>
        <v>0</v>
      </c>
    </row>
    <row r="9" customFormat="false" ht="15" hidden="false" customHeight="true" outlineLevel="0" collapsed="false">
      <c r="B9" s="6" t="n">
        <v>5</v>
      </c>
      <c r="C9" s="15" t="str">
        <f aca="false">'Company Data'!C9</f>
        <v>Company E</v>
      </c>
      <c r="D9" s="15" t="str">
        <f aca="false">'Company Data'!D9</f>
        <v>CMPE</v>
      </c>
      <c r="E9" s="18" t="n">
        <f aca="false">'Company Data'!Q9</f>
        <v>0</v>
      </c>
      <c r="F9" s="18" t="n">
        <f aca="false">'Company Data'!R9</f>
        <v>0</v>
      </c>
      <c r="G9" s="44"/>
      <c r="H9" s="44"/>
      <c r="I9" s="18" t="n">
        <f aca="false">'Company Data'!S9</f>
        <v>0</v>
      </c>
      <c r="J9" s="18" t="n">
        <f aca="false">'Company Data'!T9</f>
        <v>0</v>
      </c>
      <c r="K9" s="18" t="n">
        <f aca="false">'Company Data'!U9</f>
        <v>0</v>
      </c>
      <c r="L9" s="18" t="n">
        <f aca="false">'Company Data'!V9</f>
        <v>0</v>
      </c>
      <c r="M9" s="18" t="n">
        <f aca="false">'Trading Multiples'!K9</f>
        <v>0</v>
      </c>
    </row>
    <row r="10" customFormat="false" ht="15" hidden="false" customHeight="true" outlineLevel="0" collapsed="false">
      <c r="B10" s="12" t="n">
        <v>6</v>
      </c>
      <c r="C10" s="19" t="str">
        <f aca="false">'Company Data'!C10</f>
        <v>Company F</v>
      </c>
      <c r="D10" s="19" t="str">
        <f aca="false">'Company Data'!D10</f>
        <v>CMPF</v>
      </c>
      <c r="E10" s="22" t="n">
        <f aca="false">'Company Data'!Q10</f>
        <v>0</v>
      </c>
      <c r="F10" s="22" t="n">
        <f aca="false">'Company Data'!R10</f>
        <v>0</v>
      </c>
      <c r="G10" s="44"/>
      <c r="H10" s="44"/>
      <c r="I10" s="22" t="n">
        <f aca="false">'Company Data'!S10</f>
        <v>0</v>
      </c>
      <c r="J10" s="22" t="n">
        <f aca="false">'Company Data'!T10</f>
        <v>0</v>
      </c>
      <c r="K10" s="22" t="n">
        <f aca="false">'Company Data'!U10</f>
        <v>0</v>
      </c>
      <c r="L10" s="22" t="n">
        <f aca="false">'Company Data'!V10</f>
        <v>0</v>
      </c>
      <c r="M10" s="22" t="n">
        <f aca="false">'Trading Multiples'!K10</f>
        <v>0</v>
      </c>
    </row>
    <row r="11" customFormat="false" ht="15" hidden="false" customHeight="true" outlineLevel="0" collapsed="false">
      <c r="B11" s="6" t="n">
        <v>7</v>
      </c>
      <c r="C11" s="15" t="str">
        <f aca="false">'Company Data'!C11</f>
        <v>Company G</v>
      </c>
      <c r="D11" s="15" t="str">
        <f aca="false">'Company Data'!D11</f>
        <v>CMPG</v>
      </c>
      <c r="E11" s="18" t="n">
        <f aca="false">'Company Data'!Q11</f>
        <v>0</v>
      </c>
      <c r="F11" s="18" t="n">
        <f aca="false">'Company Data'!R11</f>
        <v>0</v>
      </c>
      <c r="G11" s="44"/>
      <c r="H11" s="44"/>
      <c r="I11" s="18" t="n">
        <f aca="false">'Company Data'!S11</f>
        <v>0</v>
      </c>
      <c r="J11" s="18" t="n">
        <f aca="false">'Company Data'!T11</f>
        <v>0</v>
      </c>
      <c r="K11" s="18" t="n">
        <f aca="false">'Company Data'!U11</f>
        <v>0</v>
      </c>
      <c r="L11" s="18" t="n">
        <f aca="false">'Company Data'!V11</f>
        <v>0</v>
      </c>
      <c r="M11" s="18" t="n">
        <f aca="false">'Trading Multiples'!K11</f>
        <v>0</v>
      </c>
    </row>
    <row r="12" customFormat="false" ht="15" hidden="false" customHeight="true" outlineLevel="0" collapsed="false">
      <c r="B12" s="12" t="n">
        <v>8</v>
      </c>
      <c r="C12" s="19" t="str">
        <f aca="false">'Company Data'!C12</f>
        <v>Company H</v>
      </c>
      <c r="D12" s="19" t="str">
        <f aca="false">'Company Data'!D12</f>
        <v>CMPH</v>
      </c>
      <c r="E12" s="22" t="n">
        <f aca="false">'Company Data'!Q12</f>
        <v>0</v>
      </c>
      <c r="F12" s="22" t="n">
        <f aca="false">'Company Data'!R12</f>
        <v>0</v>
      </c>
      <c r="G12" s="44"/>
      <c r="H12" s="44"/>
      <c r="I12" s="22" t="n">
        <f aca="false">'Company Data'!S12</f>
        <v>0</v>
      </c>
      <c r="J12" s="22" t="n">
        <f aca="false">'Company Data'!T12</f>
        <v>0</v>
      </c>
      <c r="K12" s="22" t="n">
        <f aca="false">'Company Data'!U12</f>
        <v>0</v>
      </c>
      <c r="L12" s="22" t="n">
        <f aca="false">'Company Data'!V12</f>
        <v>0</v>
      </c>
      <c r="M12" s="22" t="n">
        <f aca="false">'Trading Multiples'!K12</f>
        <v>0</v>
      </c>
    </row>
    <row r="13" customFormat="false" ht="15" hidden="false" customHeight="true" outlineLevel="0" collapsed="false">
      <c r="B13" s="6" t="n">
        <v>9</v>
      </c>
      <c r="C13" s="15" t="str">
        <f aca="false">'Company Data'!C13</f>
        <v>Company I</v>
      </c>
      <c r="D13" s="15" t="str">
        <f aca="false">'Company Data'!D13</f>
        <v>CMPI</v>
      </c>
      <c r="E13" s="18" t="n">
        <f aca="false">'Company Data'!Q13</f>
        <v>0</v>
      </c>
      <c r="F13" s="18" t="n">
        <f aca="false">'Company Data'!R13</f>
        <v>0</v>
      </c>
      <c r="G13" s="44"/>
      <c r="H13" s="44"/>
      <c r="I13" s="18" t="n">
        <f aca="false">'Company Data'!S13</f>
        <v>0</v>
      </c>
      <c r="J13" s="18" t="n">
        <f aca="false">'Company Data'!T13</f>
        <v>0</v>
      </c>
      <c r="K13" s="18" t="n">
        <f aca="false">'Company Data'!U13</f>
        <v>0</v>
      </c>
      <c r="L13" s="18" t="n">
        <f aca="false">'Company Data'!V13</f>
        <v>0</v>
      </c>
      <c r="M13" s="18" t="n">
        <f aca="false">'Trading Multiples'!K13</f>
        <v>0</v>
      </c>
    </row>
    <row r="14" customFormat="false" ht="15" hidden="false" customHeight="true" outlineLevel="0" collapsed="false">
      <c r="B14" s="12" t="n">
        <v>10</v>
      </c>
      <c r="C14" s="19" t="str">
        <f aca="false">'Company Data'!C14</f>
        <v>Company J</v>
      </c>
      <c r="D14" s="19" t="str">
        <f aca="false">'Company Data'!D14</f>
        <v>CMPJ</v>
      </c>
      <c r="E14" s="22" t="n">
        <f aca="false">'Company Data'!Q14</f>
        <v>0</v>
      </c>
      <c r="F14" s="22" t="n">
        <f aca="false">'Company Data'!R14</f>
        <v>0</v>
      </c>
      <c r="G14" s="44"/>
      <c r="H14" s="44"/>
      <c r="I14" s="22" t="n">
        <f aca="false">'Company Data'!S14</f>
        <v>0</v>
      </c>
      <c r="J14" s="22" t="n">
        <f aca="false">'Company Data'!T14</f>
        <v>0</v>
      </c>
      <c r="K14" s="22" t="n">
        <f aca="false">'Company Data'!U14</f>
        <v>0</v>
      </c>
      <c r="L14" s="22" t="n">
        <f aca="false">'Company Data'!V14</f>
        <v>0</v>
      </c>
      <c r="M14" s="22" t="n">
        <f aca="false">'Trading Multiples'!K14</f>
        <v>0</v>
      </c>
    </row>
    <row r="16" customFormat="false" ht="15" hidden="false" customHeight="true" outlineLevel="0" collapsed="false">
      <c r="B16" s="23" t="s">
        <v>62</v>
      </c>
      <c r="C16" s="23"/>
      <c r="D16" s="23"/>
      <c r="E16" s="24"/>
      <c r="F16" s="24"/>
      <c r="G16" s="24"/>
      <c r="H16" s="24"/>
      <c r="I16" s="24"/>
      <c r="J16" s="24"/>
      <c r="K16" s="24"/>
      <c r="L16" s="24"/>
      <c r="M16" s="24"/>
    </row>
    <row r="17" customFormat="false" ht="15" hidden="false" customHeight="true" outlineLevel="0" collapsed="false">
      <c r="B17" s="25" t="s">
        <v>63</v>
      </c>
      <c r="C17" s="25"/>
      <c r="D17" s="25"/>
      <c r="E17" s="27" t="n">
        <f aca="false">IF(COUNT(E5:E14)=0,0,AVERAGE(E5:E14))</f>
        <v>0</v>
      </c>
      <c r="F17" s="27" t="n">
        <f aca="false">IF(COUNT(F5:F14)=0,0,AVERAGE(F5:F14))</f>
        <v>0</v>
      </c>
      <c r="G17" s="27" t="n">
        <f aca="false">IF(COUNT(G5:G14)=0,0,AVERAGE(G5:G14))</f>
        <v>0</v>
      </c>
      <c r="H17" s="27" t="n">
        <f aca="false">IF(COUNT(H5:H14)=0,0,AVERAGE(H5:H14))</f>
        <v>0</v>
      </c>
      <c r="I17" s="27" t="n">
        <f aca="false">IF(COUNT(I5:I14)=0,0,AVERAGE(I5:I14))</f>
        <v>0</v>
      </c>
      <c r="J17" s="27" t="n">
        <f aca="false">IF(COUNT(J5:J14)=0,0,AVERAGE(J5:J14))</f>
        <v>0</v>
      </c>
      <c r="K17" s="27" t="n">
        <f aca="false">IF(COUNT(K5:K14)=0,0,AVERAGE(K5:K14))</f>
        <v>0</v>
      </c>
      <c r="L17" s="27" t="n">
        <f aca="false">IF(COUNT(L5:L14)=0,0,AVERAGE(L5:L14))</f>
        <v>0</v>
      </c>
      <c r="M17" s="27" t="n">
        <f aca="false">IF(COUNT(M5:M14)=0,0,AVERAGE(M5:M14))</f>
        <v>0</v>
      </c>
    </row>
    <row r="18" customFormat="false" ht="15" hidden="false" customHeight="true" outlineLevel="0" collapsed="false">
      <c r="B18" s="28" t="s">
        <v>64</v>
      </c>
      <c r="C18" s="28"/>
      <c r="D18" s="28"/>
      <c r="E18" s="30" t="n">
        <f aca="false">IF(COUNT(E5:E14)=0,0,MEDIAN(E5:E14))</f>
        <v>0</v>
      </c>
      <c r="F18" s="30" t="n">
        <f aca="false">IF(COUNT(F5:F14)=0,0,MEDIAN(F5:F14))</f>
        <v>0</v>
      </c>
      <c r="G18" s="30" t="n">
        <f aca="false">IF(COUNT(G5:G14)=0,0,MEDIAN(G5:G14))</f>
        <v>0</v>
      </c>
      <c r="H18" s="30" t="n">
        <f aca="false">IF(COUNT(H5:H14)=0,0,MEDIAN(H5:H14))</f>
        <v>0</v>
      </c>
      <c r="I18" s="30" t="n">
        <f aca="false">IF(COUNT(I5:I14)=0,0,MEDIAN(I5:I14))</f>
        <v>0</v>
      </c>
      <c r="J18" s="30" t="n">
        <f aca="false">IF(COUNT(J5:J14)=0,0,MEDIAN(J5:J14))</f>
        <v>0</v>
      </c>
      <c r="K18" s="30" t="n">
        <f aca="false">IF(COUNT(K5:K14)=0,0,MEDIAN(K5:K14))</f>
        <v>0</v>
      </c>
      <c r="L18" s="30" t="n">
        <f aca="false">IF(COUNT(L5:L14)=0,0,MEDIAN(L5:L14))</f>
        <v>0</v>
      </c>
      <c r="M18" s="30" t="n">
        <f aca="false">IF(COUNT(M5:M14)=0,0,MEDIAN(M5:M14))</f>
        <v>0</v>
      </c>
    </row>
    <row r="19" customFormat="false" ht="15" hidden="false" customHeight="true" outlineLevel="0" collapsed="false">
      <c r="B19" s="25" t="s">
        <v>65</v>
      </c>
      <c r="C19" s="25"/>
      <c r="D19" s="25"/>
      <c r="E19" s="27" t="n">
        <f aca="false">IF(COUNT(E5:E14)=0,0,MAX(E5:E14))</f>
        <v>0</v>
      </c>
      <c r="F19" s="27" t="n">
        <f aca="false">IF(COUNT(F5:F14)=0,0,MAX(F5:F14))</f>
        <v>0</v>
      </c>
      <c r="G19" s="27" t="n">
        <f aca="false">IF(COUNT(G5:G14)=0,0,MAX(G5:G14))</f>
        <v>0</v>
      </c>
      <c r="H19" s="27" t="n">
        <f aca="false">IF(COUNT(H5:H14)=0,0,MAX(H5:H14))</f>
        <v>0</v>
      </c>
      <c r="I19" s="27" t="n">
        <f aca="false">IF(COUNT(I5:I14)=0,0,MAX(I5:I14))</f>
        <v>0</v>
      </c>
      <c r="J19" s="27" t="n">
        <f aca="false">IF(COUNT(J5:J14)=0,0,MAX(J5:J14))</f>
        <v>0</v>
      </c>
      <c r="K19" s="27" t="n">
        <f aca="false">IF(COUNT(K5:K14)=0,0,MAX(K5:K14))</f>
        <v>0</v>
      </c>
      <c r="L19" s="27" t="n">
        <f aca="false">IF(COUNT(L5:L14)=0,0,MAX(L5:L14))</f>
        <v>0</v>
      </c>
      <c r="M19" s="27" t="n">
        <f aca="false">IF(COUNT(M5:M14)=0,0,MAX(M5:M14))</f>
        <v>0</v>
      </c>
    </row>
    <row r="20" customFormat="false" ht="15" hidden="false" customHeight="true" outlineLevel="0" collapsed="false">
      <c r="B20" s="28" t="s">
        <v>66</v>
      </c>
      <c r="C20" s="28"/>
      <c r="D20" s="28"/>
      <c r="E20" s="30" t="n">
        <f aca="false">IF(COUNT(E5:E14)=0,0,MIN(E5:E14))</f>
        <v>0</v>
      </c>
      <c r="F20" s="30" t="n">
        <f aca="false">IF(COUNT(F5:F14)=0,0,MIN(F5:F14))</f>
        <v>0</v>
      </c>
      <c r="G20" s="30" t="n">
        <f aca="false">IF(COUNT(G5:G14)=0,0,MIN(G5:G14))</f>
        <v>0</v>
      </c>
      <c r="H20" s="30" t="n">
        <f aca="false">IF(COUNT(H5:H14)=0,0,MIN(H5:H14))</f>
        <v>0</v>
      </c>
      <c r="I20" s="30" t="n">
        <f aca="false">IF(COUNT(I5:I14)=0,0,MIN(I5:I14))</f>
        <v>0</v>
      </c>
      <c r="J20" s="30" t="n">
        <f aca="false">IF(COUNT(J5:J14)=0,0,MIN(J5:J14))</f>
        <v>0</v>
      </c>
      <c r="K20" s="30" t="n">
        <f aca="false">IF(COUNT(K5:K14)=0,0,MIN(K5:K14))</f>
        <v>0</v>
      </c>
      <c r="L20" s="30" t="n">
        <f aca="false">IF(COUNT(L5:L14)=0,0,MIN(L5:L14))</f>
        <v>0</v>
      </c>
      <c r="M20" s="30" t="n">
        <f aca="false">IF(COUNT(M5:M14)=0,0,MIN(M5:M14))</f>
        <v>0</v>
      </c>
    </row>
    <row r="21" customFormat="false" ht="15" hidden="false" customHeight="true" outlineLevel="0" collapsed="false">
      <c r="B21" s="25" t="s">
        <v>67</v>
      </c>
      <c r="C21" s="25"/>
      <c r="D21" s="25"/>
      <c r="E21" s="27" t="n">
        <f aca="false">IF(COUNT(E5:E14)=0,0,PERCENTILE(E5:E14,0.25))</f>
        <v>0</v>
      </c>
      <c r="F21" s="27" t="n">
        <f aca="false">IF(COUNT(F5:F14)=0,0,PERCENTILE(F5:F14,0.25))</f>
        <v>0</v>
      </c>
      <c r="G21" s="27" t="n">
        <f aca="false">IF(COUNT(G5:G14)=0,0,PERCENTILE(G5:G14,0.25))</f>
        <v>0</v>
      </c>
      <c r="H21" s="27" t="n">
        <f aca="false">IF(COUNT(H5:H14)=0,0,PERCENTILE(H5:H14,0.25))</f>
        <v>0</v>
      </c>
      <c r="I21" s="27" t="n">
        <f aca="false">IF(COUNT(I5:I14)=0,0,PERCENTILE(I5:I14,0.25))</f>
        <v>0</v>
      </c>
      <c r="J21" s="27" t="n">
        <f aca="false">IF(COUNT(J5:J14)=0,0,PERCENTILE(J5:J14,0.25))</f>
        <v>0</v>
      </c>
      <c r="K21" s="27" t="n">
        <f aca="false">IF(COUNT(K5:K14)=0,0,PERCENTILE(K5:K14,0.25))</f>
        <v>0</v>
      </c>
      <c r="L21" s="27" t="n">
        <f aca="false">IF(COUNT(L5:L14)=0,0,PERCENTILE(L5:L14,0.25))</f>
        <v>0</v>
      </c>
      <c r="M21" s="27" t="n">
        <f aca="false">IF(COUNT(M5:M14)=0,0,PERCENTILE(M5:M14,0.25))</f>
        <v>0</v>
      </c>
    </row>
    <row r="22" customFormat="false" ht="15" hidden="false" customHeight="true" outlineLevel="0" collapsed="false">
      <c r="B22" s="28" t="s">
        <v>68</v>
      </c>
      <c r="C22" s="28"/>
      <c r="D22" s="28"/>
      <c r="E22" s="30" t="n">
        <f aca="false">IF(COUNT(E5:E14)=0,0,PERCENTILE(E5:E14,0.75))</f>
        <v>0</v>
      </c>
      <c r="F22" s="30" t="n">
        <f aca="false">IF(COUNT(F5:F14)=0,0,PERCENTILE(F5:F14,0.75))</f>
        <v>0</v>
      </c>
      <c r="G22" s="30" t="n">
        <f aca="false">IF(COUNT(G5:G14)=0,0,PERCENTILE(G5:G14,0.75))</f>
        <v>0</v>
      </c>
      <c r="H22" s="30" t="n">
        <f aca="false">IF(COUNT(H5:H14)=0,0,PERCENTILE(H5:H14,0.75))</f>
        <v>0</v>
      </c>
      <c r="I22" s="30" t="n">
        <f aca="false">IF(COUNT(I5:I14)=0,0,PERCENTILE(I5:I14,0.75))</f>
        <v>0</v>
      </c>
      <c r="J22" s="30" t="n">
        <f aca="false">IF(COUNT(J5:J14)=0,0,PERCENTILE(J5:J14,0.75))</f>
        <v>0</v>
      </c>
      <c r="K22" s="30" t="n">
        <f aca="false">IF(COUNT(K5:K14)=0,0,PERCENTILE(K5:K14,0.75))</f>
        <v>0</v>
      </c>
      <c r="L22" s="30" t="n">
        <f aca="false">IF(COUNT(L5:L14)=0,0,PERCENTILE(L5:L14,0.75))</f>
        <v>0</v>
      </c>
      <c r="M22" s="30" t="n">
        <f aca="false">IF(COUNT(M5:M14)=0,0,PERCENTILE(M5:M14,0.75))</f>
        <v>0</v>
      </c>
    </row>
  </sheetData>
  <mergeCells count="12">
    <mergeCell ref="B1:M1"/>
    <mergeCell ref="B3:D3"/>
    <mergeCell ref="E3:H3"/>
    <mergeCell ref="I3:K3"/>
    <mergeCell ref="L3:M3"/>
    <mergeCell ref="B16:D16"/>
    <mergeCell ref="B17:D17"/>
    <mergeCell ref="B18:D18"/>
    <mergeCell ref="B19:D19"/>
    <mergeCell ref="B20:D20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2026-02-25T20:58:51Z</dcterms:created>
  <dc:creator>openpyxl</dc:creator>
  <dc:description/>
  <dc:language>en-US</dc:language>
  <cp:lastModifiedBy/>
  <dcterms:modified xsi:type="dcterms:W3CDTF">2026-02-25T20:59:23Z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